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0011\Desktop\Offline Statistics\Lupex-Statistics\Data\"/>
    </mc:Choice>
  </mc:AlternateContent>
  <xr:revisionPtr revIDLastSave="0" documentId="13_ncr:1_{94609526-92BF-467B-B376-A7789263E0FE}" xr6:coauthVersionLast="47" xr6:coauthVersionMax="47" xr10:uidLastSave="{00000000-0000-0000-0000-000000000000}"/>
  <bookViews>
    <workbookView xWindow="-120" yWindow="-120" windowWidth="29040" windowHeight="15720" xr2:uid="{75B97FB3-3EB6-4DDD-AD53-05DBD679015B}"/>
  </bookViews>
  <sheets>
    <sheet name="Arbejdsliste" sheetId="1" r:id="rId1"/>
    <sheet name="Diagram" sheetId="3" r:id="rId2"/>
    <sheet name="Studie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3" i="1"/>
  <c r="J2" i="1"/>
  <c r="H3" i="1"/>
  <c r="H4" i="1"/>
  <c r="H5" i="1"/>
  <c r="H7" i="1"/>
  <c r="H9" i="1"/>
  <c r="H11" i="1"/>
  <c r="H14" i="1"/>
  <c r="H16" i="1"/>
  <c r="H17" i="1"/>
  <c r="H18" i="1"/>
  <c r="H19" i="1"/>
  <c r="H20" i="1"/>
  <c r="H23" i="1"/>
  <c r="H24" i="1"/>
  <c r="H27" i="1"/>
  <c r="H32" i="1"/>
  <c r="H34" i="1"/>
  <c r="H35" i="1"/>
  <c r="H36" i="1"/>
  <c r="H37" i="1"/>
  <c r="H43" i="1"/>
  <c r="H46" i="1"/>
  <c r="H52" i="1"/>
  <c r="H55" i="1"/>
  <c r="H57" i="1"/>
  <c r="H68" i="1"/>
  <c r="H72" i="1"/>
  <c r="H75" i="1"/>
  <c r="H76" i="1"/>
  <c r="H80" i="1"/>
  <c r="H93" i="1"/>
  <c r="H105" i="1"/>
  <c r="H107" i="1"/>
  <c r="H109" i="1"/>
  <c r="H111" i="1"/>
  <c r="H115" i="1"/>
  <c r="H116" i="1"/>
  <c r="H120" i="1"/>
  <c r="H130" i="1"/>
  <c r="H134" i="1"/>
  <c r="H135" i="1"/>
  <c r="H136" i="1"/>
  <c r="H138" i="1"/>
  <c r="H140" i="1"/>
  <c r="H141" i="1"/>
  <c r="H144" i="1"/>
  <c r="H146" i="1"/>
  <c r="H150" i="1"/>
  <c r="H151" i="1"/>
  <c r="H163" i="1"/>
  <c r="H169" i="1"/>
  <c r="H185" i="1"/>
  <c r="H2" i="1"/>
  <c r="A2" i="3" l="1" a="1"/>
  <c r="B5" i="3" s="1"/>
  <c r="D48" i="1"/>
  <c r="D49" i="1" s="1"/>
  <c r="D50" i="1" s="1"/>
  <c r="D51" i="1" s="1"/>
  <c r="D52" i="1" s="1"/>
  <c r="D53" i="1" s="1"/>
  <c r="B5" i="2"/>
  <c r="C12" i="3"/>
  <c r="C13" i="3"/>
  <c r="C14" i="3"/>
  <c r="C15" i="3"/>
  <c r="C16" i="3"/>
  <c r="C17" i="3"/>
  <c r="C18" i="3"/>
  <c r="C7" i="3" l="1"/>
  <c r="B7" i="3"/>
  <c r="C5" i="3"/>
  <c r="C11" i="3"/>
  <c r="A2" i="3"/>
  <c r="C2" i="3" s="1"/>
  <c r="C10" i="3"/>
  <c r="C9" i="3"/>
  <c r="C8" i="3"/>
  <c r="C19" i="3"/>
  <c r="D7" i="3" l="1"/>
  <c r="B9" i="3"/>
  <c r="D9" i="3" s="1"/>
  <c r="B10" i="3"/>
  <c r="D10" i="3" s="1"/>
  <c r="B11" i="3"/>
  <c r="D11" i="3" s="1"/>
  <c r="B12" i="3"/>
  <c r="D12" i="3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8" i="3" l="1"/>
  <c r="D8" i="3" s="1"/>
  <c r="C3" i="3"/>
  <c r="C4" i="3"/>
  <c r="C6" i="3"/>
  <c r="B4" i="3"/>
  <c r="B3" i="3"/>
  <c r="B6" i="3"/>
  <c r="C20" i="3" l="1"/>
  <c r="D6" i="3"/>
  <c r="D3" i="3"/>
  <c r="D4" i="3"/>
  <c r="D5" i="3"/>
  <c r="B2" i="3"/>
  <c r="D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<sst xmlns="http://schemas.openxmlformats.org/spreadsheetml/2006/main" count="400" uniqueCount="112">
  <si>
    <t>H-21039032</t>
  </si>
  <si>
    <t>April 5, 2022</t>
  </si>
  <si>
    <t>Lupex Protokol - Type 1 interferon induced changes to exercise adaptations in systemic lupus erythematosus patients</t>
  </si>
  <si>
    <t>JL</t>
  </si>
  <si>
    <t>Ja</t>
  </si>
  <si>
    <t>MLA</t>
  </si>
  <si>
    <t>Det Store LUPEX Væddeløb</t>
  </si>
  <si>
    <t>Lup002</t>
  </si>
  <si>
    <t>Lup003</t>
  </si>
  <si>
    <t>Lup001</t>
  </si>
  <si>
    <t>LUP004</t>
  </si>
  <si>
    <t>LUP005</t>
  </si>
  <si>
    <t>LUP006</t>
  </si>
  <si>
    <t>LUP007</t>
  </si>
  <si>
    <t>LUP008</t>
  </si>
  <si>
    <t>Total</t>
  </si>
  <si>
    <t>Lup009</t>
  </si>
  <si>
    <t>LUP010</t>
  </si>
  <si>
    <t>Lup011</t>
  </si>
  <si>
    <t>Deltager Ægte</t>
  </si>
  <si>
    <t>Ikke deltager</t>
  </si>
  <si>
    <t>LUP012</t>
  </si>
  <si>
    <t>IER</t>
  </si>
  <si>
    <t>LUP013</t>
  </si>
  <si>
    <t>LUP014</t>
  </si>
  <si>
    <t>LUP015</t>
  </si>
  <si>
    <t>LUP016</t>
  </si>
  <si>
    <t>LUP017</t>
  </si>
  <si>
    <t>LUP018</t>
  </si>
  <si>
    <t>Aktuelt i Studiet</t>
  </si>
  <si>
    <t>Lup019</t>
  </si>
  <si>
    <t>Lup020</t>
  </si>
  <si>
    <t>17-01-2023 og 24/1</t>
  </si>
  <si>
    <t>LUP021</t>
  </si>
  <si>
    <t>Lup023</t>
  </si>
  <si>
    <t>LUP024</t>
  </si>
  <si>
    <t>LUP025</t>
  </si>
  <si>
    <t>Lup026</t>
  </si>
  <si>
    <t>LUP027</t>
  </si>
  <si>
    <t>Lup028</t>
  </si>
  <si>
    <t>lup029</t>
  </si>
  <si>
    <t>Lup030</t>
  </si>
  <si>
    <t>Lup031</t>
  </si>
  <si>
    <t>2/2 og 8/2</t>
  </si>
  <si>
    <t>Lup032</t>
  </si>
  <si>
    <t>Lup033</t>
  </si>
  <si>
    <t>Lup034</t>
  </si>
  <si>
    <t>Lup035</t>
  </si>
  <si>
    <t>Lup036</t>
  </si>
  <si>
    <t>Lup037</t>
  </si>
  <si>
    <t>Lup038</t>
  </si>
  <si>
    <t>Lup039</t>
  </si>
  <si>
    <t>Laura</t>
  </si>
  <si>
    <t>Lup040</t>
  </si>
  <si>
    <t>Lup041</t>
  </si>
  <si>
    <t>Lup042</t>
  </si>
  <si>
    <t>Lup043</t>
  </si>
  <si>
    <t>Lup022</t>
  </si>
  <si>
    <t>LUP044</t>
  </si>
  <si>
    <t>LUP045</t>
  </si>
  <si>
    <t>Lup046</t>
  </si>
  <si>
    <t>Lup047</t>
  </si>
  <si>
    <t>lup048</t>
  </si>
  <si>
    <t>lup049</t>
  </si>
  <si>
    <t>Lup050</t>
  </si>
  <si>
    <t>utallige</t>
  </si>
  <si>
    <t>Lup051</t>
  </si>
  <si>
    <t>Lup052</t>
  </si>
  <si>
    <t>LUP053</t>
  </si>
  <si>
    <t>LUP054</t>
  </si>
  <si>
    <t>lup055</t>
  </si>
  <si>
    <t>Screeningnr</t>
  </si>
  <si>
    <t>Allocation_ID</t>
  </si>
  <si>
    <t>Date for contact</t>
  </si>
  <si>
    <t>Contacted by</t>
  </si>
  <si>
    <t>Reason for decline</t>
  </si>
  <si>
    <t>Participated in another SLE study recently</t>
  </si>
  <si>
    <t>No response on telephone call or email</t>
  </si>
  <si>
    <t>Does not wish to participate</t>
  </si>
  <si>
    <t xml:space="preserve">No response on telephone call or email </t>
  </si>
  <si>
    <t>Declined to participate due to earlier apoplexia causing unilaterally decreased strength</t>
  </si>
  <si>
    <t>Declined to participate due to chronic pain and immobilsation from broken link</t>
  </si>
  <si>
    <t>Does not feel healthy enough to participate</t>
  </si>
  <si>
    <t xml:space="preserve">Does not feel healthy enough to participate </t>
  </si>
  <si>
    <t>Does not fulfill SLICC</t>
  </si>
  <si>
    <t>Type 1 Diabetes Mellitus</t>
  </si>
  <si>
    <t>Comment</t>
  </si>
  <si>
    <t>Broken Limb</t>
  </si>
  <si>
    <t>fracture</t>
  </si>
  <si>
    <t>cites DLCO &lt;50%</t>
  </si>
  <si>
    <t>Pain from prolapsed disc</t>
  </si>
  <si>
    <t>cites advanced age as reason for decline</t>
  </si>
  <si>
    <t>Recent mechanical aortic valve implantation</t>
  </si>
  <si>
    <t>Autoimmune Hepatitis</t>
  </si>
  <si>
    <t>Lupus Nephritis</t>
  </si>
  <si>
    <t>knee pain</t>
  </si>
  <si>
    <t>Would not be able to finish before trial deadline</t>
  </si>
  <si>
    <t>sbujid_dosed</t>
  </si>
  <si>
    <t>subjid_notdosed</t>
  </si>
  <si>
    <t>followup</t>
  </si>
  <si>
    <t>completed</t>
  </si>
  <si>
    <t>lost_followup</t>
  </si>
  <si>
    <t>Hospital Admission</t>
  </si>
  <si>
    <t>Anxiety of participation</t>
  </si>
  <si>
    <t>Pregnancy</t>
  </si>
  <si>
    <t>Participant refused</t>
  </si>
  <si>
    <t>Language Barrier</t>
  </si>
  <si>
    <t>In Fertility Treatment</t>
  </si>
  <si>
    <t>Not enough time to exercise</t>
  </si>
  <si>
    <t>Excluded: SLEDAI &gt;10</t>
  </si>
  <si>
    <t>Excluded: Pregnancy</t>
  </si>
  <si>
    <t>Distance to study center too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</si>
</sst>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rgb="FF44546A"/>
      <name val="Times New Roman"/>
      <family val="1"/>
    </font>
    <font>
      <sz val="8"/>
      <color rgb="FF44546A"/>
      <name val="Times New Roman"/>
      <family val="1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2" borderId="0" xfId="0" applyFill="1"/>
    <xf numFmtId="16" fontId="0" fillId="2" borderId="0" xfId="0" applyNumberFormat="1" applyFill="1"/>
    <xf numFmtId="0" fontId="0" fillId="2" borderId="0" xfId="0" applyFill="1" applyBorder="1"/>
    <xf numFmtId="0" fontId="0" fillId="3" borderId="0" xfId="0" applyFill="1"/>
    <xf numFmtId="16" fontId="0" fillId="3" borderId="0" xfId="0" applyNumberFormat="1" applyFill="1"/>
    <xf numFmtId="0" fontId="0" fillId="0" borderId="0" xfId="0" applyAlignment="1">
      <alignment wrapText="1"/>
    </xf>
    <xf numFmtId="0" fontId="0" fillId="2" borderId="0" xfId="0" applyFont="1" applyFill="1"/>
    <xf numFmtId="16" fontId="0" fillId="2" borderId="0" xfId="0" applyNumberFormat="1" applyFont="1" applyFill="1"/>
    <xf numFmtId="0" fontId="5" fillId="2" borderId="0" xfId="0" applyFont="1" applyFill="1"/>
    <xf numFmtId="0" fontId="5" fillId="3" borderId="0" xfId="0" applyFont="1" applyFill="1"/>
    <xf numFmtId="16" fontId="5" fillId="3" borderId="0" xfId="0" applyNumberFormat="1" applyFont="1" applyFill="1"/>
    <xf numFmtId="16" fontId="5" fillId="2" borderId="0" xfId="0" applyNumberFormat="1" applyFont="1" applyFill="1"/>
    <xf numFmtId="0" fontId="0" fillId="4" borderId="0" xfId="0" applyFill="1"/>
    <xf numFmtId="14" fontId="0" fillId="4" borderId="0" xfId="0" applyNumberFormat="1" applyFill="1"/>
    <xf numFmtId="16" fontId="0" fillId="4" borderId="0" xfId="0" applyNumberFormat="1" applyFill="1"/>
    <xf numFmtId="0" fontId="5" fillId="4" borderId="0" xfId="0" applyFont="1" applyFill="1"/>
    <xf numFmtId="0" fontId="1" fillId="4" borderId="0" xfId="0" applyFont="1" applyFill="1"/>
    <xf numFmtId="0" fontId="0" fillId="3" borderId="0" xfId="0" applyFont="1" applyFill="1"/>
    <xf numFmtId="0" fontId="1" fillId="3" borderId="0" xfId="0" applyFont="1" applyFill="1"/>
    <xf numFmtId="0" fontId="6" fillId="2" borderId="0" xfId="0" applyFont="1" applyFill="1"/>
    <xf numFmtId="16" fontId="6" fillId="2" borderId="0" xfId="0" applyNumberFormat="1" applyFont="1" applyFill="1"/>
    <xf numFmtId="0" fontId="0" fillId="3" borderId="0" xfId="0" applyFill="1" applyBorder="1"/>
    <xf numFmtId="16" fontId="0" fillId="2" borderId="0" xfId="0" applyNumberFormat="1" applyFill="1" applyBorder="1"/>
    <xf numFmtId="16" fontId="0" fillId="4" borderId="0" xfId="0" applyNumberFormat="1" applyFill="1" applyBorder="1"/>
    <xf numFmtId="16" fontId="0" fillId="3" borderId="0" xfId="0" applyNumberFormat="1" applyFill="1" applyBorder="1"/>
  </cellXfs>
  <cellStyles count="1">
    <cellStyle name="Normal" xfId="0" builtinId="0"/>
  </cellStyles>
  <dxfs count="3">
    <dxf>
      <font>
        <b/>
        <i val="0"/>
        <color rgb="FFFF0000"/>
      </font>
      <fill>
        <patternFill>
          <bgColor rgb="FFFF7C80"/>
        </patternFill>
      </fill>
    </dxf>
    <dxf>
      <font>
        <b/>
        <i val="0"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Lupex</a:t>
            </a:r>
            <a:r>
              <a:rPr lang="da-DK" baseline="0"/>
              <a:t> Væddeløbet</a:t>
            </a:r>
            <a:endParaRPr lang="da-DK"/>
          </a:p>
        </c:rich>
      </c:tx>
      <c:layout>
        <c:manualLayout>
          <c:xMode val="edge"/>
          <c:yMode val="edge"/>
          <c:x val="0.4367645725938934"/>
          <c:y val="3.60878111993323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EF-4BB2-8737-4E6C7D51DB2E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6EF-4BB2-8737-4E6C7D51DB2E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EF-4BB2-8737-4E6C7D51DB2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EF-4BB2-8737-4E6C7D51DB2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5AD-4898-ABE2-D5B5C25356D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6EF-4BB2-8737-4E6C7D51DB2E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5AD-4898-ABE2-D5B5C25356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Diagram!$A$2:$A$10</c15:sqref>
                  </c15:fullRef>
                </c:ext>
              </c:extLst>
              <c:f>(Diagram!$A$2:$A$6,Diagram!$A$8:$A$10)</c:f>
              <c:numCache>
                <c:formatCode>General</c:formatCode>
                <c:ptCount val="8"/>
                <c:pt idx="0">
                  <c:v>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Diagram!$C$2:$C$10</c15:sqref>
                  </c15:fullRef>
                </c:ext>
              </c:extLst>
              <c:f>(Diagram!$C$2:$C$6,Diagram!$C$8:$C$10)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Diagram!$C$7</c15:sqref>
                  <c15:dLbl>
                    <c:idx val="4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E-FDF2-4C0E-8388-FFF8F3BC8A69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E6EF-4BB2-8737-4E6C7D51D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8291120"/>
        <c:axId val="448292432"/>
      </c:barChart>
      <c:catAx>
        <c:axId val="448291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448292432"/>
        <c:crosses val="autoZero"/>
        <c:auto val="1"/>
        <c:lblAlgn val="ctr"/>
        <c:lblOffset val="100"/>
        <c:noMultiLvlLbl val="0"/>
      </c:catAx>
      <c:valAx>
        <c:axId val="44829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44829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234398</xdr:colOff>
      <xdr:row>1</xdr:row>
      <xdr:rowOff>29817</xdr:rowOff>
    </xdr:from>
    <xdr:to>
      <xdr:col>22</xdr:col>
      <xdr:colOff>107674</xdr:colOff>
      <xdr:row>31</xdr:row>
      <xdr:rowOff>57979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CCFDE99-1A57-4DC8-BA8F-D4A38D37A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619125</xdr:colOff>
      <xdr:row>56</xdr:row>
      <xdr:rowOff>19050</xdr:rowOff>
    </xdr:from>
    <xdr:to>
      <xdr:col>12</xdr:col>
      <xdr:colOff>145145</xdr:colOff>
      <xdr:row>84</xdr:row>
      <xdr:rowOff>67798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5C52D799-B049-4D4D-84AB-C6CFE7018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089" b="89941" l="2661" r="97007">
                      <a14:foregroundMark x1="66962" y1="7574" x2="60520" y2="9676"/>
                      <a14:foregroundMark x1="60353" y1="9320" x2="66741" y2="5325"/>
                      <a14:foregroundMark x1="66741" y1="5325" x2="59867" y2="8639"/>
                      <a14:foregroundMark x1="9313" y1="54911" x2="8059" y2="56636"/>
                      <a14:foregroundMark x1="1943" y1="70869" x2="1774" y2="71716"/>
                      <a14:foregroundMark x1="3521" y1="77239" x2="4656" y2="80828"/>
                      <a14:foregroundMark x1="793" y1="70460" x2="776" y2="70414"/>
                      <a14:foregroundMark x1="1276" y1="71757" x2="840" y2="70586"/>
                      <a14:foregroundMark x1="4656" y1="80828" x2="3348" y2="77318"/>
                      <a14:foregroundMark x1="776" y1="70414" x2="3437" y2="61657"/>
                      <a14:foregroundMark x1="7691" y1="56360" x2="9424" y2="54201"/>
                      <a14:foregroundMark x1="3437" y1="61657" x2="3782" y2="61227"/>
                      <a14:foregroundMark x1="9424" y1="54201" x2="2621" y2="61572"/>
                      <a14:foregroundMark x1="2173" y1="70951" x2="2181" y2="71344"/>
                      <a14:foregroundMark x1="2024" y1="63607" x2="2087" y2="66740"/>
                      <a14:foregroundMark x1="8242" y1="56773" x2="8426" y2="56450"/>
                      <a14:foregroundMark x1="2495" y1="64002" x2="2106" y2="64497"/>
                      <a14:foregroundMark x1="8426" y1="56450" x2="8198" y2="56740"/>
                      <a14:foregroundMark x1="2106" y1="64497" x2="2271" y2="66175"/>
                      <a14:foregroundMark x1="4000" y1="77020" x2="6541" y2="83669"/>
                      <a14:foregroundMark x1="6541" y1="83669" x2="10643" y2="87574"/>
                      <a14:foregroundMark x1="1182" y1="70598" x2="1109" y2="71006"/>
                      <a14:foregroundMark x1="2387" y1="63911" x2="1615" y2="68195"/>
                      <a14:foregroundMark x1="1495" y1="73245" x2="2661" y2="80000"/>
                      <a14:foregroundMark x1="1109" y1="71006" x2="1241" y2="71773"/>
                      <a14:foregroundMark x1="3417" y1="62240" x2="3437" y2="61775"/>
                      <a14:foregroundMark x1="2661" y1="80000" x2="2817" y2="76334"/>
                      <a14:foregroundMark x1="90133" y1="53491" x2="95011" y2="61302"/>
                      <a14:foregroundMark x1="96042" y1="68639" x2="97007" y2="75503"/>
                      <a14:foregroundMark x1="95011" y1="61302" x2="95626" y2="65680"/>
                      <a14:backgroundMark x1="58537" y1="9941" x2="58869" y2="10651"/>
                      <a14:backgroundMark x1="61973" y1="2959" x2="60310" y2="4379"/>
                      <a14:backgroundMark x1="95344" y1="66391" x2="95011" y2="65680"/>
                      <a14:backgroundMark x1="95344" y1="70296" x2="94789" y2="64379"/>
                      <a14:backgroundMark x1="40798" y1="73964" x2="43126" y2="72189"/>
                      <a14:backgroundMark x1="43570" y1="76213" x2="44457" y2="74675"/>
                      <a14:backgroundMark x1="45455" y1="70769" x2="45565" y2="71716"/>
                      <a14:backgroundMark x1="45455" y1="65444" x2="46231" y2="65444"/>
                      <a14:backgroundMark x1="42794" y1="67456" x2="43126" y2="67929"/>
                      <a14:backgroundMark x1="27162" y1="70651" x2="24834" y2="69586"/>
                      <a14:backgroundMark x1="22173" y1="67574" x2="21508" y2="65680"/>
                      <a14:backgroundMark x1="66186" y1="37041" x2="64634" y2="37633"/>
                      <a14:backgroundMark x1="75942" y1="34556" x2="75055" y2="34201"/>
                      <a14:backgroundMark x1="81596" y1="34675" x2="79379" y2="33254"/>
                      <a14:backgroundMark x1="82373" y1="45089" x2="81929" y2="45089"/>
                      <a14:backgroundMark x1="5654" y1="61893" x2="2661" y2="71124"/>
                      <a14:backgroundMark x1="2661" y1="71124" x2="4989" y2="76568"/>
                      <a14:backgroundMark x1="998" y1="63669" x2="1996" y2="62485"/>
                      <a14:backgroundMark x1="2439" y1="61420" x2="1109" y2="62840"/>
                      <a14:backgroundMark x1="8758" y1="57160" x2="5100" y2="61775"/>
                      <a14:backgroundMark x1="4767" y1="79290" x2="4102" y2="76923"/>
                      <a14:backgroundMark x1="95455" y1="65680" x2="95455" y2="68639"/>
                      <a14:backgroundMark x1="95455" y1="65680" x2="95011" y2="6426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838325" y="10687050"/>
          <a:ext cx="5745845" cy="5382748"/>
        </a:xfrm>
        <a:prstGeom prst="rect">
          <a:avLst/>
        </a:prstGeom>
      </xdr:spPr>
    </xdr:pic>
    <xdr:clientData/>
  </xdr:twoCellAnchor>
  <xdr:twoCellAnchor editAs="oneCell">
    <xdr:from>
      <xdr:col>19</xdr:col>
      <xdr:colOff>166481</xdr:colOff>
      <xdr:row>17</xdr:row>
      <xdr:rowOff>119269</xdr:rowOff>
    </xdr:from>
    <xdr:to>
      <xdr:col>20</xdr:col>
      <xdr:colOff>147795</xdr:colOff>
      <xdr:row>20</xdr:row>
      <xdr:rowOff>101341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BCAAA637-50B4-4DCB-BB34-AC93D3DE5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089" b="89941" l="2661" r="97007">
                      <a14:foregroundMark x1="66962" y1="7574" x2="60520" y2="9676"/>
                      <a14:foregroundMark x1="60353" y1="9320" x2="66741" y2="5325"/>
                      <a14:foregroundMark x1="66741" y1="5325" x2="59867" y2="8639"/>
                      <a14:foregroundMark x1="9313" y1="54911" x2="8059" y2="56636"/>
                      <a14:foregroundMark x1="1943" y1="70869" x2="1774" y2="71716"/>
                      <a14:foregroundMark x1="3521" y1="77239" x2="4656" y2="80828"/>
                      <a14:foregroundMark x1="793" y1="70460" x2="776" y2="70414"/>
                      <a14:foregroundMark x1="1276" y1="71757" x2="840" y2="70586"/>
                      <a14:foregroundMark x1="4656" y1="80828" x2="3348" y2="77318"/>
                      <a14:foregroundMark x1="776" y1="70414" x2="3437" y2="61657"/>
                      <a14:foregroundMark x1="7691" y1="56360" x2="9424" y2="54201"/>
                      <a14:foregroundMark x1="3437" y1="61657" x2="3782" y2="61227"/>
                      <a14:foregroundMark x1="9424" y1="54201" x2="2621" y2="61572"/>
                      <a14:foregroundMark x1="2173" y1="70951" x2="2181" y2="71344"/>
                      <a14:foregroundMark x1="2024" y1="63607" x2="2087" y2="66740"/>
                      <a14:foregroundMark x1="8242" y1="56773" x2="8426" y2="56450"/>
                      <a14:foregroundMark x1="2495" y1="64002" x2="2106" y2="64497"/>
                      <a14:foregroundMark x1="8426" y1="56450" x2="8198" y2="56740"/>
                      <a14:foregroundMark x1="2106" y1="64497" x2="2271" y2="66175"/>
                      <a14:foregroundMark x1="4000" y1="77020" x2="6541" y2="83669"/>
                      <a14:foregroundMark x1="6541" y1="83669" x2="10643" y2="87574"/>
                      <a14:foregroundMark x1="1182" y1="70598" x2="1109" y2="71006"/>
                      <a14:foregroundMark x1="2387" y1="63911" x2="1615" y2="68195"/>
                      <a14:foregroundMark x1="1495" y1="73245" x2="2661" y2="80000"/>
                      <a14:foregroundMark x1="1109" y1="71006" x2="1241" y2="71773"/>
                      <a14:foregroundMark x1="3417" y1="62240" x2="3437" y2="61775"/>
                      <a14:foregroundMark x1="2661" y1="80000" x2="2817" y2="76334"/>
                      <a14:foregroundMark x1="90133" y1="53491" x2="95011" y2="61302"/>
                      <a14:foregroundMark x1="96042" y1="68639" x2="97007" y2="75503"/>
                      <a14:foregroundMark x1="95011" y1="61302" x2="95626" y2="65680"/>
                      <a14:backgroundMark x1="58537" y1="9941" x2="58869" y2="10651"/>
                      <a14:backgroundMark x1="61973" y1="2959" x2="60310" y2="4379"/>
                      <a14:backgroundMark x1="95344" y1="66391" x2="95011" y2="65680"/>
                      <a14:backgroundMark x1="95344" y1="70296" x2="94789" y2="64379"/>
                      <a14:backgroundMark x1="40798" y1="73964" x2="43126" y2="72189"/>
                      <a14:backgroundMark x1="43570" y1="76213" x2="44457" y2="74675"/>
                      <a14:backgroundMark x1="45455" y1="70769" x2="45565" y2="71716"/>
                      <a14:backgroundMark x1="45455" y1="65444" x2="46231" y2="65444"/>
                      <a14:backgroundMark x1="42794" y1="67456" x2="43126" y2="67929"/>
                      <a14:backgroundMark x1="27162" y1="70651" x2="24834" y2="69586"/>
                      <a14:backgroundMark x1="22173" y1="67574" x2="21508" y2="65680"/>
                      <a14:backgroundMark x1="66186" y1="37041" x2="64634" y2="37633"/>
                      <a14:backgroundMark x1="75942" y1="34556" x2="75055" y2="34201"/>
                      <a14:backgroundMark x1="81596" y1="34675" x2="79379" y2="33254"/>
                      <a14:backgroundMark x1="82373" y1="45089" x2="81929" y2="45089"/>
                      <a14:backgroundMark x1="5654" y1="61893" x2="2661" y2="71124"/>
                      <a14:backgroundMark x1="2661" y1="71124" x2="4989" y2="76568"/>
                      <a14:backgroundMark x1="998" y1="63669" x2="1996" y2="62485"/>
                      <a14:backgroundMark x1="2439" y1="61420" x2="1109" y2="62840"/>
                      <a14:backgroundMark x1="8758" y1="57160" x2="5100" y2="61775"/>
                      <a14:backgroundMark x1="4767" y1="79290" x2="4102" y2="76923"/>
                      <a14:backgroundMark x1="95455" y1="65680" x2="95455" y2="68639"/>
                      <a14:backgroundMark x1="95455" y1="65680" x2="95011" y2="6426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936068" y="3357769"/>
          <a:ext cx="594227" cy="553572"/>
        </a:xfrm>
        <a:prstGeom prst="rect">
          <a:avLst/>
        </a:prstGeom>
      </xdr:spPr>
    </xdr:pic>
    <xdr:clientData/>
  </xdr:twoCellAnchor>
  <xdr:twoCellAnchor editAs="oneCell">
    <xdr:from>
      <xdr:col>13</xdr:col>
      <xdr:colOff>413717</xdr:colOff>
      <xdr:row>14</xdr:row>
      <xdr:rowOff>169794</xdr:rowOff>
    </xdr:from>
    <xdr:to>
      <xdr:col>14</xdr:col>
      <xdr:colOff>395031</xdr:colOff>
      <xdr:row>17</xdr:row>
      <xdr:rowOff>151866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6280549E-CF1B-4B19-9BC8-B3E1D00D4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089" b="89941" l="2661" r="97007">
                      <a14:foregroundMark x1="66962" y1="7574" x2="60520" y2="9676"/>
                      <a14:foregroundMark x1="60353" y1="9320" x2="66741" y2="5325"/>
                      <a14:foregroundMark x1="66741" y1="5325" x2="59867" y2="8639"/>
                      <a14:foregroundMark x1="9313" y1="54911" x2="8059" y2="56636"/>
                      <a14:foregroundMark x1="1943" y1="70869" x2="1774" y2="71716"/>
                      <a14:foregroundMark x1="3521" y1="77239" x2="4656" y2="80828"/>
                      <a14:foregroundMark x1="793" y1="70460" x2="776" y2="70414"/>
                      <a14:foregroundMark x1="1276" y1="71757" x2="840" y2="70586"/>
                      <a14:foregroundMark x1="4656" y1="80828" x2="3348" y2="77318"/>
                      <a14:foregroundMark x1="776" y1="70414" x2="3437" y2="61657"/>
                      <a14:foregroundMark x1="7691" y1="56360" x2="9424" y2="54201"/>
                      <a14:foregroundMark x1="3437" y1="61657" x2="3782" y2="61227"/>
                      <a14:foregroundMark x1="9424" y1="54201" x2="2621" y2="61572"/>
                      <a14:foregroundMark x1="2173" y1="70951" x2="2181" y2="71344"/>
                      <a14:foregroundMark x1="2024" y1="63607" x2="2087" y2="66740"/>
                      <a14:foregroundMark x1="8242" y1="56773" x2="8426" y2="56450"/>
                      <a14:foregroundMark x1="2495" y1="64002" x2="2106" y2="64497"/>
                      <a14:foregroundMark x1="8426" y1="56450" x2="8198" y2="56740"/>
                      <a14:foregroundMark x1="2106" y1="64497" x2="2271" y2="66175"/>
                      <a14:foregroundMark x1="4000" y1="77020" x2="6541" y2="83669"/>
                      <a14:foregroundMark x1="6541" y1="83669" x2="10643" y2="87574"/>
                      <a14:foregroundMark x1="1182" y1="70598" x2="1109" y2="71006"/>
                      <a14:foregroundMark x1="2387" y1="63911" x2="1615" y2="68195"/>
                      <a14:foregroundMark x1="1495" y1="73245" x2="2661" y2="80000"/>
                      <a14:foregroundMark x1="1109" y1="71006" x2="1241" y2="71773"/>
                      <a14:foregroundMark x1="3417" y1="62240" x2="3437" y2="61775"/>
                      <a14:foregroundMark x1="2661" y1="80000" x2="2817" y2="76334"/>
                      <a14:foregroundMark x1="90133" y1="53491" x2="95011" y2="61302"/>
                      <a14:foregroundMark x1="96042" y1="68639" x2="97007" y2="75503"/>
                      <a14:foregroundMark x1="95011" y1="61302" x2="95626" y2="65680"/>
                      <a14:backgroundMark x1="58537" y1="9941" x2="58869" y2="10651"/>
                      <a14:backgroundMark x1="61973" y1="2959" x2="60310" y2="4379"/>
                      <a14:backgroundMark x1="95344" y1="66391" x2="95011" y2="65680"/>
                      <a14:backgroundMark x1="95344" y1="70296" x2="94789" y2="64379"/>
                      <a14:backgroundMark x1="40798" y1="73964" x2="43126" y2="72189"/>
                      <a14:backgroundMark x1="43570" y1="76213" x2="44457" y2="74675"/>
                      <a14:backgroundMark x1="45455" y1="70769" x2="45565" y2="71716"/>
                      <a14:backgroundMark x1="45455" y1="65444" x2="46231" y2="65444"/>
                      <a14:backgroundMark x1="42794" y1="67456" x2="43126" y2="67929"/>
                      <a14:backgroundMark x1="27162" y1="70651" x2="24834" y2="69586"/>
                      <a14:backgroundMark x1="22173" y1="67574" x2="21508" y2="65680"/>
                      <a14:backgroundMark x1="66186" y1="37041" x2="64634" y2="37633"/>
                      <a14:backgroundMark x1="75942" y1="34556" x2="75055" y2="34201"/>
                      <a14:backgroundMark x1="81596" y1="34675" x2="79379" y2="33254"/>
                      <a14:backgroundMark x1="82373" y1="45089" x2="81929" y2="45089"/>
                      <a14:backgroundMark x1="5654" y1="61893" x2="2661" y2="71124"/>
                      <a14:backgroundMark x1="2661" y1="71124" x2="4989" y2="76568"/>
                      <a14:backgroundMark x1="998" y1="63669" x2="1996" y2="62485"/>
                      <a14:backgroundMark x1="2439" y1="61420" x2="1109" y2="62840"/>
                      <a14:backgroundMark x1="8758" y1="57160" x2="5100" y2="61775"/>
                      <a14:backgroundMark x1="4767" y1="79290" x2="4102" y2="76923"/>
                      <a14:backgroundMark x1="95455" y1="65680" x2="95455" y2="68639"/>
                      <a14:backgroundMark x1="95455" y1="65680" x2="95011" y2="6426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505826" y="2836794"/>
          <a:ext cx="594227" cy="553572"/>
        </a:xfrm>
        <a:prstGeom prst="rect">
          <a:avLst/>
        </a:prstGeom>
      </xdr:spPr>
    </xdr:pic>
    <xdr:clientData/>
  </xdr:twoCellAnchor>
  <xdr:twoCellAnchor editAs="oneCell">
    <xdr:from>
      <xdr:col>13</xdr:col>
      <xdr:colOff>403364</xdr:colOff>
      <xdr:row>22</xdr:row>
      <xdr:rowOff>190086</xdr:rowOff>
    </xdr:from>
    <xdr:to>
      <xdr:col>14</xdr:col>
      <xdr:colOff>384678</xdr:colOff>
      <xdr:row>25</xdr:row>
      <xdr:rowOff>172158</xdr:rowOff>
    </xdr:to>
    <xdr:pic>
      <xdr:nvPicPr>
        <xdr:cNvPr id="9" name="Billede 8">
          <a:extLst>
            <a:ext uri="{FF2B5EF4-FFF2-40B4-BE49-F238E27FC236}">
              <a16:creationId xmlns:a16="http://schemas.microsoft.com/office/drawing/2014/main" id="{F57C6B20-2F15-4C7A-9F9B-A56BF88E9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089" b="89941" l="2661" r="97007">
                      <a14:foregroundMark x1="66962" y1="7574" x2="60520" y2="9676"/>
                      <a14:foregroundMark x1="60353" y1="9320" x2="66741" y2="5325"/>
                      <a14:foregroundMark x1="66741" y1="5325" x2="59867" y2="8639"/>
                      <a14:foregroundMark x1="9313" y1="54911" x2="8059" y2="56636"/>
                      <a14:foregroundMark x1="1943" y1="70869" x2="1774" y2="71716"/>
                      <a14:foregroundMark x1="3521" y1="77239" x2="4656" y2="80828"/>
                      <a14:foregroundMark x1="793" y1="70460" x2="776" y2="70414"/>
                      <a14:foregroundMark x1="1276" y1="71757" x2="840" y2="70586"/>
                      <a14:foregroundMark x1="4656" y1="80828" x2="3348" y2="77318"/>
                      <a14:foregroundMark x1="776" y1="70414" x2="3437" y2="61657"/>
                      <a14:foregroundMark x1="7691" y1="56360" x2="9424" y2="54201"/>
                      <a14:foregroundMark x1="3437" y1="61657" x2="3782" y2="61227"/>
                      <a14:foregroundMark x1="9424" y1="54201" x2="2621" y2="61572"/>
                      <a14:foregroundMark x1="2173" y1="70951" x2="2181" y2="71344"/>
                      <a14:foregroundMark x1="2024" y1="63607" x2="2087" y2="66740"/>
                      <a14:foregroundMark x1="8242" y1="56773" x2="8426" y2="56450"/>
                      <a14:foregroundMark x1="2495" y1="64002" x2="2106" y2="64497"/>
                      <a14:foregroundMark x1="8426" y1="56450" x2="8198" y2="56740"/>
                      <a14:foregroundMark x1="2106" y1="64497" x2="2271" y2="66175"/>
                      <a14:foregroundMark x1="4000" y1="77020" x2="6541" y2="83669"/>
                      <a14:foregroundMark x1="6541" y1="83669" x2="10643" y2="87574"/>
                      <a14:foregroundMark x1="1182" y1="70598" x2="1109" y2="71006"/>
                      <a14:foregroundMark x1="2387" y1="63911" x2="1615" y2="68195"/>
                      <a14:foregroundMark x1="1495" y1="73245" x2="2661" y2="80000"/>
                      <a14:foregroundMark x1="1109" y1="71006" x2="1241" y2="71773"/>
                      <a14:foregroundMark x1="3417" y1="62240" x2="3437" y2="61775"/>
                      <a14:foregroundMark x1="2661" y1="80000" x2="2817" y2="76334"/>
                      <a14:foregroundMark x1="90133" y1="53491" x2="95011" y2="61302"/>
                      <a14:foregroundMark x1="96042" y1="68639" x2="97007" y2="75503"/>
                      <a14:foregroundMark x1="95011" y1="61302" x2="95626" y2="65680"/>
                      <a14:backgroundMark x1="58537" y1="9941" x2="58869" y2="10651"/>
                      <a14:backgroundMark x1="61973" y1="2959" x2="60310" y2="4379"/>
                      <a14:backgroundMark x1="95344" y1="66391" x2="95011" y2="65680"/>
                      <a14:backgroundMark x1="95344" y1="70296" x2="94789" y2="64379"/>
                      <a14:backgroundMark x1="40798" y1="73964" x2="43126" y2="72189"/>
                      <a14:backgroundMark x1="43570" y1="76213" x2="44457" y2="74675"/>
                      <a14:backgroundMark x1="45455" y1="70769" x2="45565" y2="71716"/>
                      <a14:backgroundMark x1="45455" y1="65444" x2="46231" y2="65444"/>
                      <a14:backgroundMark x1="42794" y1="67456" x2="43126" y2="67929"/>
                      <a14:backgroundMark x1="27162" y1="70651" x2="24834" y2="69586"/>
                      <a14:backgroundMark x1="22173" y1="67574" x2="21508" y2="65680"/>
                      <a14:backgroundMark x1="66186" y1="37041" x2="64634" y2="37633"/>
                      <a14:backgroundMark x1="75942" y1="34556" x2="75055" y2="34201"/>
                      <a14:backgroundMark x1="81596" y1="34675" x2="79379" y2="33254"/>
                      <a14:backgroundMark x1="82373" y1="45089" x2="81929" y2="45089"/>
                      <a14:backgroundMark x1="5654" y1="61893" x2="2661" y2="71124"/>
                      <a14:backgroundMark x1="2661" y1="71124" x2="4989" y2="76568"/>
                      <a14:backgroundMark x1="998" y1="63669" x2="1996" y2="62485"/>
                      <a14:backgroundMark x1="2439" y1="61420" x2="1109" y2="62840"/>
                      <a14:backgroundMark x1="8758" y1="57160" x2="5100" y2="61775"/>
                      <a14:backgroundMark x1="4767" y1="79290" x2="4102" y2="76923"/>
                      <a14:backgroundMark x1="95455" y1="65680" x2="95455" y2="68639"/>
                      <a14:backgroundMark x1="95455" y1="65680" x2="95011" y2="6426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495473" y="4381086"/>
          <a:ext cx="594227" cy="553572"/>
        </a:xfrm>
        <a:prstGeom prst="rect">
          <a:avLst/>
        </a:prstGeom>
      </xdr:spPr>
    </xdr:pic>
    <xdr:clientData/>
  </xdr:twoCellAnchor>
  <xdr:twoCellAnchor editAs="oneCell">
    <xdr:from>
      <xdr:col>11</xdr:col>
      <xdr:colOff>498613</xdr:colOff>
      <xdr:row>20</xdr:row>
      <xdr:rowOff>13666</xdr:rowOff>
    </xdr:from>
    <xdr:to>
      <xdr:col>12</xdr:col>
      <xdr:colOff>479927</xdr:colOff>
      <xdr:row>22</xdr:row>
      <xdr:rowOff>186238</xdr:rowOff>
    </xdr:to>
    <xdr:pic>
      <xdr:nvPicPr>
        <xdr:cNvPr id="10" name="Billede 9">
          <a:extLst>
            <a:ext uri="{FF2B5EF4-FFF2-40B4-BE49-F238E27FC236}">
              <a16:creationId xmlns:a16="http://schemas.microsoft.com/office/drawing/2014/main" id="{12CEA3CE-C9D1-48EC-8AD8-CC4EBCA6B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089" b="89941" l="2661" r="97007">
                      <a14:foregroundMark x1="66962" y1="7574" x2="60520" y2="9676"/>
                      <a14:foregroundMark x1="60353" y1="9320" x2="66741" y2="5325"/>
                      <a14:foregroundMark x1="66741" y1="5325" x2="59867" y2="8639"/>
                      <a14:foregroundMark x1="9313" y1="54911" x2="8059" y2="56636"/>
                      <a14:foregroundMark x1="1943" y1="70869" x2="1774" y2="71716"/>
                      <a14:foregroundMark x1="3521" y1="77239" x2="4656" y2="80828"/>
                      <a14:foregroundMark x1="793" y1="70460" x2="776" y2="70414"/>
                      <a14:foregroundMark x1="1276" y1="71757" x2="840" y2="70586"/>
                      <a14:foregroundMark x1="4656" y1="80828" x2="3348" y2="77318"/>
                      <a14:foregroundMark x1="776" y1="70414" x2="3437" y2="61657"/>
                      <a14:foregroundMark x1="7691" y1="56360" x2="9424" y2="54201"/>
                      <a14:foregroundMark x1="3437" y1="61657" x2="3782" y2="61227"/>
                      <a14:foregroundMark x1="9424" y1="54201" x2="2621" y2="61572"/>
                      <a14:foregroundMark x1="2173" y1="70951" x2="2181" y2="71344"/>
                      <a14:foregroundMark x1="2024" y1="63607" x2="2087" y2="66740"/>
                      <a14:foregroundMark x1="8242" y1="56773" x2="8426" y2="56450"/>
                      <a14:foregroundMark x1="2495" y1="64002" x2="2106" y2="64497"/>
                      <a14:foregroundMark x1="8426" y1="56450" x2="8198" y2="56740"/>
                      <a14:foregroundMark x1="2106" y1="64497" x2="2271" y2="66175"/>
                      <a14:foregroundMark x1="4000" y1="77020" x2="6541" y2="83669"/>
                      <a14:foregroundMark x1="6541" y1="83669" x2="10643" y2="87574"/>
                      <a14:foregroundMark x1="1182" y1="70598" x2="1109" y2="71006"/>
                      <a14:foregroundMark x1="2387" y1="63911" x2="1615" y2="68195"/>
                      <a14:foregroundMark x1="1495" y1="73245" x2="2661" y2="80000"/>
                      <a14:foregroundMark x1="1109" y1="71006" x2="1241" y2="71773"/>
                      <a14:foregroundMark x1="3417" y1="62240" x2="3437" y2="61775"/>
                      <a14:foregroundMark x1="2661" y1="80000" x2="2817" y2="76334"/>
                      <a14:foregroundMark x1="90133" y1="53491" x2="95011" y2="61302"/>
                      <a14:foregroundMark x1="96042" y1="68639" x2="97007" y2="75503"/>
                      <a14:foregroundMark x1="95011" y1="61302" x2="95626" y2="65680"/>
                      <a14:backgroundMark x1="58537" y1="9941" x2="58869" y2="10651"/>
                      <a14:backgroundMark x1="61973" y1="2959" x2="60310" y2="4379"/>
                      <a14:backgroundMark x1="95344" y1="66391" x2="95011" y2="65680"/>
                      <a14:backgroundMark x1="95344" y1="70296" x2="94789" y2="64379"/>
                      <a14:backgroundMark x1="40798" y1="73964" x2="43126" y2="72189"/>
                      <a14:backgroundMark x1="43570" y1="76213" x2="44457" y2="74675"/>
                      <a14:backgroundMark x1="45455" y1="70769" x2="45565" y2="71716"/>
                      <a14:backgroundMark x1="45455" y1="65444" x2="46231" y2="65444"/>
                      <a14:backgroundMark x1="42794" y1="67456" x2="43126" y2="67929"/>
                      <a14:backgroundMark x1="27162" y1="70651" x2="24834" y2="69586"/>
                      <a14:backgroundMark x1="22173" y1="67574" x2="21508" y2="65680"/>
                      <a14:backgroundMark x1="66186" y1="37041" x2="64634" y2="37633"/>
                      <a14:backgroundMark x1="75942" y1="34556" x2="75055" y2="34201"/>
                      <a14:backgroundMark x1="81596" y1="34675" x2="79379" y2="33254"/>
                      <a14:backgroundMark x1="82373" y1="45089" x2="81929" y2="45089"/>
                      <a14:backgroundMark x1="5654" y1="61893" x2="2661" y2="71124"/>
                      <a14:backgroundMark x1="2661" y1="71124" x2="4989" y2="76568"/>
                      <a14:backgroundMark x1="998" y1="63669" x2="1996" y2="62485"/>
                      <a14:backgroundMark x1="2439" y1="61420" x2="1109" y2="62840"/>
                      <a14:backgroundMark x1="8758" y1="57160" x2="5100" y2="61775"/>
                      <a14:backgroundMark x1="4767" y1="79290" x2="4102" y2="76923"/>
                      <a14:backgroundMark x1="95455" y1="65680" x2="95455" y2="68639"/>
                      <a14:backgroundMark x1="95455" y1="65680" x2="95011" y2="6426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64896" y="3823666"/>
          <a:ext cx="594227" cy="553572"/>
        </a:xfrm>
        <a:prstGeom prst="rect">
          <a:avLst/>
        </a:prstGeom>
      </xdr:spPr>
    </xdr:pic>
    <xdr:clientData/>
  </xdr:twoCellAnchor>
  <xdr:twoCellAnchor editAs="oneCell">
    <xdr:from>
      <xdr:col>11</xdr:col>
      <xdr:colOff>522634</xdr:colOff>
      <xdr:row>25</xdr:row>
      <xdr:rowOff>142046</xdr:rowOff>
    </xdr:from>
    <xdr:to>
      <xdr:col>12</xdr:col>
      <xdr:colOff>503948</xdr:colOff>
      <xdr:row>28</xdr:row>
      <xdr:rowOff>124118</xdr:rowOff>
    </xdr:to>
    <xdr:pic>
      <xdr:nvPicPr>
        <xdr:cNvPr id="11" name="Billede 10">
          <a:extLst>
            <a:ext uri="{FF2B5EF4-FFF2-40B4-BE49-F238E27FC236}">
              <a16:creationId xmlns:a16="http://schemas.microsoft.com/office/drawing/2014/main" id="{A316B9C8-BDE7-4C7D-8E59-5986D76FD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089" b="89941" l="2661" r="97007">
                      <a14:foregroundMark x1="66962" y1="7574" x2="60520" y2="9676"/>
                      <a14:foregroundMark x1="60353" y1="9320" x2="66741" y2="5325"/>
                      <a14:foregroundMark x1="66741" y1="5325" x2="59867" y2="8639"/>
                      <a14:foregroundMark x1="9313" y1="54911" x2="8059" y2="56636"/>
                      <a14:foregroundMark x1="1943" y1="70869" x2="1774" y2="71716"/>
                      <a14:foregroundMark x1="3521" y1="77239" x2="4656" y2="80828"/>
                      <a14:foregroundMark x1="793" y1="70460" x2="776" y2="70414"/>
                      <a14:foregroundMark x1="1276" y1="71757" x2="840" y2="70586"/>
                      <a14:foregroundMark x1="4656" y1="80828" x2="3348" y2="77318"/>
                      <a14:foregroundMark x1="776" y1="70414" x2="3437" y2="61657"/>
                      <a14:foregroundMark x1="7691" y1="56360" x2="9424" y2="54201"/>
                      <a14:foregroundMark x1="3437" y1="61657" x2="3782" y2="61227"/>
                      <a14:foregroundMark x1="9424" y1="54201" x2="2621" y2="61572"/>
                      <a14:foregroundMark x1="2173" y1="70951" x2="2181" y2="71344"/>
                      <a14:foregroundMark x1="2024" y1="63607" x2="2087" y2="66740"/>
                      <a14:foregroundMark x1="8242" y1="56773" x2="8426" y2="56450"/>
                      <a14:foregroundMark x1="2495" y1="64002" x2="2106" y2="64497"/>
                      <a14:foregroundMark x1="8426" y1="56450" x2="8198" y2="56740"/>
                      <a14:foregroundMark x1="2106" y1="64497" x2="2271" y2="66175"/>
                      <a14:foregroundMark x1="4000" y1="77020" x2="6541" y2="83669"/>
                      <a14:foregroundMark x1="6541" y1="83669" x2="10643" y2="87574"/>
                      <a14:foregroundMark x1="1182" y1="70598" x2="1109" y2="71006"/>
                      <a14:foregroundMark x1="2387" y1="63911" x2="1615" y2="68195"/>
                      <a14:foregroundMark x1="1495" y1="73245" x2="2661" y2="80000"/>
                      <a14:foregroundMark x1="1109" y1="71006" x2="1241" y2="71773"/>
                      <a14:foregroundMark x1="3417" y1="62240" x2="3437" y2="61775"/>
                      <a14:foregroundMark x1="2661" y1="80000" x2="2817" y2="76334"/>
                      <a14:foregroundMark x1="90133" y1="53491" x2="95011" y2="61302"/>
                      <a14:foregroundMark x1="96042" y1="68639" x2="97007" y2="75503"/>
                      <a14:foregroundMark x1="95011" y1="61302" x2="95626" y2="65680"/>
                      <a14:backgroundMark x1="58537" y1="9941" x2="58869" y2="10651"/>
                      <a14:backgroundMark x1="61973" y1="2959" x2="60310" y2="4379"/>
                      <a14:backgroundMark x1="95344" y1="66391" x2="95011" y2="65680"/>
                      <a14:backgroundMark x1="95344" y1="70296" x2="94789" y2="64379"/>
                      <a14:backgroundMark x1="40798" y1="73964" x2="43126" y2="72189"/>
                      <a14:backgroundMark x1="43570" y1="76213" x2="44457" y2="74675"/>
                      <a14:backgroundMark x1="45455" y1="70769" x2="45565" y2="71716"/>
                      <a14:backgroundMark x1="45455" y1="65444" x2="46231" y2="65444"/>
                      <a14:backgroundMark x1="42794" y1="67456" x2="43126" y2="67929"/>
                      <a14:backgroundMark x1="27162" y1="70651" x2="24834" y2="69586"/>
                      <a14:backgroundMark x1="22173" y1="67574" x2="21508" y2="65680"/>
                      <a14:backgroundMark x1="66186" y1="37041" x2="64634" y2="37633"/>
                      <a14:backgroundMark x1="75942" y1="34556" x2="75055" y2="34201"/>
                      <a14:backgroundMark x1="81596" y1="34675" x2="79379" y2="33254"/>
                      <a14:backgroundMark x1="82373" y1="45089" x2="81929" y2="45089"/>
                      <a14:backgroundMark x1="5654" y1="61893" x2="2661" y2="71124"/>
                      <a14:backgroundMark x1="2661" y1="71124" x2="4989" y2="76568"/>
                      <a14:backgroundMark x1="998" y1="63669" x2="1996" y2="62485"/>
                      <a14:backgroundMark x1="2439" y1="61420" x2="1109" y2="62840"/>
                      <a14:backgroundMark x1="8758" y1="57160" x2="5100" y2="61775"/>
                      <a14:backgroundMark x1="4767" y1="79290" x2="4102" y2="76923"/>
                      <a14:backgroundMark x1="95455" y1="65680" x2="95455" y2="68639"/>
                      <a14:backgroundMark x1="95455" y1="65680" x2="95011" y2="6426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88917" y="4904546"/>
          <a:ext cx="594227" cy="553572"/>
        </a:xfrm>
        <a:prstGeom prst="rect">
          <a:avLst/>
        </a:prstGeom>
      </xdr:spPr>
    </xdr:pic>
    <xdr:clientData/>
  </xdr:twoCellAnchor>
  <xdr:twoCellAnchor editAs="oneCell">
    <xdr:from>
      <xdr:col>11</xdr:col>
      <xdr:colOff>510209</xdr:colOff>
      <xdr:row>6</xdr:row>
      <xdr:rowOff>138733</xdr:rowOff>
    </xdr:from>
    <xdr:to>
      <xdr:col>12</xdr:col>
      <xdr:colOff>491523</xdr:colOff>
      <xdr:row>9</xdr:row>
      <xdr:rowOff>120805</xdr:rowOff>
    </xdr:to>
    <xdr:pic>
      <xdr:nvPicPr>
        <xdr:cNvPr id="12" name="Billede 11">
          <a:extLst>
            <a:ext uri="{FF2B5EF4-FFF2-40B4-BE49-F238E27FC236}">
              <a16:creationId xmlns:a16="http://schemas.microsoft.com/office/drawing/2014/main" id="{66B6C215-9B4F-4194-B88D-598635DEE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089" b="89941" l="2661" r="97007">
                      <a14:foregroundMark x1="66962" y1="7574" x2="60520" y2="9676"/>
                      <a14:foregroundMark x1="60353" y1="9320" x2="66741" y2="5325"/>
                      <a14:foregroundMark x1="66741" y1="5325" x2="59867" y2="8639"/>
                      <a14:foregroundMark x1="9313" y1="54911" x2="8059" y2="56636"/>
                      <a14:foregroundMark x1="1943" y1="70869" x2="1774" y2="71716"/>
                      <a14:foregroundMark x1="3521" y1="77239" x2="4656" y2="80828"/>
                      <a14:foregroundMark x1="793" y1="70460" x2="776" y2="70414"/>
                      <a14:foregroundMark x1="1276" y1="71757" x2="840" y2="70586"/>
                      <a14:foregroundMark x1="4656" y1="80828" x2="3348" y2="77318"/>
                      <a14:foregroundMark x1="776" y1="70414" x2="3437" y2="61657"/>
                      <a14:foregroundMark x1="7691" y1="56360" x2="9424" y2="54201"/>
                      <a14:foregroundMark x1="3437" y1="61657" x2="3782" y2="61227"/>
                      <a14:foregroundMark x1="9424" y1="54201" x2="2621" y2="61572"/>
                      <a14:foregroundMark x1="2173" y1="70951" x2="2181" y2="71344"/>
                      <a14:foregroundMark x1="2024" y1="63607" x2="2087" y2="66740"/>
                      <a14:foregroundMark x1="8242" y1="56773" x2="8426" y2="56450"/>
                      <a14:foregroundMark x1="2495" y1="64002" x2="2106" y2="64497"/>
                      <a14:foregroundMark x1="8426" y1="56450" x2="8198" y2="56740"/>
                      <a14:foregroundMark x1="2106" y1="64497" x2="2271" y2="66175"/>
                      <a14:foregroundMark x1="4000" y1="77020" x2="6541" y2="83669"/>
                      <a14:foregroundMark x1="6541" y1="83669" x2="10643" y2="87574"/>
                      <a14:foregroundMark x1="1182" y1="70598" x2="1109" y2="71006"/>
                      <a14:foregroundMark x1="2387" y1="63911" x2="1615" y2="68195"/>
                      <a14:foregroundMark x1="1495" y1="73245" x2="2661" y2="80000"/>
                      <a14:foregroundMark x1="1109" y1="71006" x2="1241" y2="71773"/>
                      <a14:foregroundMark x1="3417" y1="62240" x2="3437" y2="61775"/>
                      <a14:foregroundMark x1="2661" y1="80000" x2="2817" y2="76334"/>
                      <a14:foregroundMark x1="90133" y1="53491" x2="95011" y2="61302"/>
                      <a14:foregroundMark x1="96042" y1="68639" x2="97007" y2="75503"/>
                      <a14:foregroundMark x1="95011" y1="61302" x2="95626" y2="65680"/>
                      <a14:backgroundMark x1="58537" y1="9941" x2="58869" y2="10651"/>
                      <a14:backgroundMark x1="61973" y1="2959" x2="60310" y2="4379"/>
                      <a14:backgroundMark x1="95344" y1="66391" x2="95011" y2="65680"/>
                      <a14:backgroundMark x1="95344" y1="70296" x2="94789" y2="64379"/>
                      <a14:backgroundMark x1="40798" y1="73964" x2="43126" y2="72189"/>
                      <a14:backgroundMark x1="43570" y1="76213" x2="44457" y2="74675"/>
                      <a14:backgroundMark x1="45455" y1="70769" x2="45565" y2="71716"/>
                      <a14:backgroundMark x1="45455" y1="65444" x2="46231" y2="65444"/>
                      <a14:backgroundMark x1="42794" y1="67456" x2="43126" y2="67929"/>
                      <a14:backgroundMark x1="27162" y1="70651" x2="24834" y2="69586"/>
                      <a14:backgroundMark x1="22173" y1="67574" x2="21508" y2="65680"/>
                      <a14:backgroundMark x1="66186" y1="37041" x2="64634" y2="37633"/>
                      <a14:backgroundMark x1="75942" y1="34556" x2="75055" y2="34201"/>
                      <a14:backgroundMark x1="81596" y1="34675" x2="79379" y2="33254"/>
                      <a14:backgroundMark x1="82373" y1="45089" x2="81929" y2="45089"/>
                      <a14:backgroundMark x1="5654" y1="61893" x2="2661" y2="71124"/>
                      <a14:backgroundMark x1="2661" y1="71124" x2="4989" y2="76568"/>
                      <a14:backgroundMark x1="998" y1="63669" x2="1996" y2="62485"/>
                      <a14:backgroundMark x1="2439" y1="61420" x2="1109" y2="62840"/>
                      <a14:backgroundMark x1="8758" y1="57160" x2="5100" y2="61775"/>
                      <a14:backgroundMark x1="4767" y1="79290" x2="4102" y2="76923"/>
                      <a14:backgroundMark x1="95455" y1="65680" x2="95455" y2="68639"/>
                      <a14:backgroundMark x1="95455" y1="65680" x2="95011" y2="6426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76492" y="1281733"/>
          <a:ext cx="594227" cy="553572"/>
        </a:xfrm>
        <a:prstGeom prst="rect">
          <a:avLst/>
        </a:prstGeom>
      </xdr:spPr>
    </xdr:pic>
    <xdr:clientData/>
  </xdr:twoCellAnchor>
  <xdr:twoCellAnchor editAs="oneCell">
    <xdr:from>
      <xdr:col>9</xdr:col>
      <xdr:colOff>58394</xdr:colOff>
      <xdr:row>9</xdr:row>
      <xdr:rowOff>89452</xdr:rowOff>
    </xdr:from>
    <xdr:to>
      <xdr:col>10</xdr:col>
      <xdr:colOff>39708</xdr:colOff>
      <xdr:row>12</xdr:row>
      <xdr:rowOff>71524</xdr:rowOff>
    </xdr:to>
    <xdr:pic>
      <xdr:nvPicPr>
        <xdr:cNvPr id="13" name="Billede 12">
          <a:extLst>
            <a:ext uri="{FF2B5EF4-FFF2-40B4-BE49-F238E27FC236}">
              <a16:creationId xmlns:a16="http://schemas.microsoft.com/office/drawing/2014/main" id="{20C52BB5-A36B-498D-A620-3B3619FB1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089" b="89941" l="2661" r="97007">
                      <a14:foregroundMark x1="66962" y1="7574" x2="60520" y2="9676"/>
                      <a14:foregroundMark x1="60353" y1="9320" x2="66741" y2="5325"/>
                      <a14:foregroundMark x1="66741" y1="5325" x2="59867" y2="8639"/>
                      <a14:foregroundMark x1="9313" y1="54911" x2="8059" y2="56636"/>
                      <a14:foregroundMark x1="1943" y1="70869" x2="1774" y2="71716"/>
                      <a14:foregroundMark x1="3521" y1="77239" x2="4656" y2="80828"/>
                      <a14:foregroundMark x1="793" y1="70460" x2="776" y2="70414"/>
                      <a14:foregroundMark x1="1276" y1="71757" x2="840" y2="70586"/>
                      <a14:foregroundMark x1="4656" y1="80828" x2="3348" y2="77318"/>
                      <a14:foregroundMark x1="776" y1="70414" x2="3437" y2="61657"/>
                      <a14:foregroundMark x1="7691" y1="56360" x2="9424" y2="54201"/>
                      <a14:foregroundMark x1="3437" y1="61657" x2="3782" y2="61227"/>
                      <a14:foregroundMark x1="9424" y1="54201" x2="2621" y2="61572"/>
                      <a14:foregroundMark x1="2173" y1="70951" x2="2181" y2="71344"/>
                      <a14:foregroundMark x1="2024" y1="63607" x2="2087" y2="66740"/>
                      <a14:foregroundMark x1="8242" y1="56773" x2="8426" y2="56450"/>
                      <a14:foregroundMark x1="2495" y1="64002" x2="2106" y2="64497"/>
                      <a14:foregroundMark x1="8426" y1="56450" x2="8198" y2="56740"/>
                      <a14:foregroundMark x1="2106" y1="64497" x2="2271" y2="66175"/>
                      <a14:foregroundMark x1="4000" y1="77020" x2="6541" y2="83669"/>
                      <a14:foregroundMark x1="6541" y1="83669" x2="10643" y2="87574"/>
                      <a14:foregroundMark x1="1182" y1="70598" x2="1109" y2="71006"/>
                      <a14:foregroundMark x1="2387" y1="63911" x2="1615" y2="68195"/>
                      <a14:foregroundMark x1="1495" y1="73245" x2="2661" y2="80000"/>
                      <a14:foregroundMark x1="1109" y1="71006" x2="1241" y2="71773"/>
                      <a14:foregroundMark x1="3417" y1="62240" x2="3437" y2="61775"/>
                      <a14:foregroundMark x1="2661" y1="80000" x2="2817" y2="76334"/>
                      <a14:foregroundMark x1="90133" y1="53491" x2="95011" y2="61302"/>
                      <a14:foregroundMark x1="96042" y1="68639" x2="97007" y2="75503"/>
                      <a14:foregroundMark x1="95011" y1="61302" x2="95626" y2="65680"/>
                      <a14:backgroundMark x1="58537" y1="9941" x2="58869" y2="10651"/>
                      <a14:backgroundMark x1="61973" y1="2959" x2="60310" y2="4379"/>
                      <a14:backgroundMark x1="95344" y1="66391" x2="95011" y2="65680"/>
                      <a14:backgroundMark x1="95344" y1="70296" x2="94789" y2="64379"/>
                      <a14:backgroundMark x1="40798" y1="73964" x2="43126" y2="72189"/>
                      <a14:backgroundMark x1="43570" y1="76213" x2="44457" y2="74675"/>
                      <a14:backgroundMark x1="45455" y1="70769" x2="45565" y2="71716"/>
                      <a14:backgroundMark x1="45455" y1="65444" x2="46231" y2="65444"/>
                      <a14:backgroundMark x1="42794" y1="67456" x2="43126" y2="67929"/>
                      <a14:backgroundMark x1="27162" y1="70651" x2="24834" y2="69586"/>
                      <a14:backgroundMark x1="22173" y1="67574" x2="21508" y2="65680"/>
                      <a14:backgroundMark x1="66186" y1="37041" x2="64634" y2="37633"/>
                      <a14:backgroundMark x1="75942" y1="34556" x2="75055" y2="34201"/>
                      <a14:backgroundMark x1="81596" y1="34675" x2="79379" y2="33254"/>
                      <a14:backgroundMark x1="82373" y1="45089" x2="81929" y2="45089"/>
                      <a14:backgroundMark x1="5654" y1="61893" x2="2661" y2="71124"/>
                      <a14:backgroundMark x1="2661" y1="71124" x2="4989" y2="76568"/>
                      <a14:backgroundMark x1="998" y1="63669" x2="1996" y2="62485"/>
                      <a14:backgroundMark x1="2439" y1="61420" x2="1109" y2="62840"/>
                      <a14:backgroundMark x1="8758" y1="57160" x2="5100" y2="61775"/>
                      <a14:backgroundMark x1="4767" y1="79290" x2="4102" y2="76923"/>
                      <a14:backgroundMark x1="95455" y1="65680" x2="95455" y2="68639"/>
                      <a14:backgroundMark x1="95455" y1="65680" x2="95011" y2="6426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98851" y="1803952"/>
          <a:ext cx="594227" cy="553572"/>
        </a:xfrm>
        <a:prstGeom prst="rect">
          <a:avLst/>
        </a:prstGeom>
      </xdr:spPr>
    </xdr:pic>
    <xdr:clientData/>
  </xdr:twoCellAnchor>
  <xdr:twoCellAnchor editAs="oneCell">
    <xdr:from>
      <xdr:col>9</xdr:col>
      <xdr:colOff>33961</xdr:colOff>
      <xdr:row>3</xdr:row>
      <xdr:rowOff>164410</xdr:rowOff>
    </xdr:from>
    <xdr:to>
      <xdr:col>10</xdr:col>
      <xdr:colOff>15275</xdr:colOff>
      <xdr:row>6</xdr:row>
      <xdr:rowOff>146482</xdr:rowOff>
    </xdr:to>
    <xdr:pic>
      <xdr:nvPicPr>
        <xdr:cNvPr id="14" name="Billede 13">
          <a:extLst>
            <a:ext uri="{FF2B5EF4-FFF2-40B4-BE49-F238E27FC236}">
              <a16:creationId xmlns:a16="http://schemas.microsoft.com/office/drawing/2014/main" id="{E46FA776-B2E8-429C-9326-9972BFA86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089" b="89941" l="2661" r="97007">
                      <a14:foregroundMark x1="66962" y1="7574" x2="60520" y2="9676"/>
                      <a14:foregroundMark x1="60353" y1="9320" x2="66741" y2="5325"/>
                      <a14:foregroundMark x1="66741" y1="5325" x2="59867" y2="8639"/>
                      <a14:foregroundMark x1="9313" y1="54911" x2="8059" y2="56636"/>
                      <a14:foregroundMark x1="1943" y1="70869" x2="1774" y2="71716"/>
                      <a14:foregroundMark x1="3521" y1="77239" x2="4656" y2="80828"/>
                      <a14:foregroundMark x1="793" y1="70460" x2="776" y2="70414"/>
                      <a14:foregroundMark x1="1276" y1="71757" x2="840" y2="70586"/>
                      <a14:foregroundMark x1="4656" y1="80828" x2="3348" y2="77318"/>
                      <a14:foregroundMark x1="776" y1="70414" x2="3437" y2="61657"/>
                      <a14:foregroundMark x1="7691" y1="56360" x2="9424" y2="54201"/>
                      <a14:foregroundMark x1="3437" y1="61657" x2="3782" y2="61227"/>
                      <a14:foregroundMark x1="9424" y1="54201" x2="2621" y2="61572"/>
                      <a14:foregroundMark x1="2173" y1="70951" x2="2181" y2="71344"/>
                      <a14:foregroundMark x1="2024" y1="63607" x2="2087" y2="66740"/>
                      <a14:foregroundMark x1="8242" y1="56773" x2="8426" y2="56450"/>
                      <a14:foregroundMark x1="2495" y1="64002" x2="2106" y2="64497"/>
                      <a14:foregroundMark x1="8426" y1="56450" x2="8198" y2="56740"/>
                      <a14:foregroundMark x1="2106" y1="64497" x2="2271" y2="66175"/>
                      <a14:foregroundMark x1="4000" y1="77020" x2="6541" y2="83669"/>
                      <a14:foregroundMark x1="6541" y1="83669" x2="10643" y2="87574"/>
                      <a14:foregroundMark x1="1182" y1="70598" x2="1109" y2="71006"/>
                      <a14:foregroundMark x1="2387" y1="63911" x2="1615" y2="68195"/>
                      <a14:foregroundMark x1="1495" y1="73245" x2="2661" y2="80000"/>
                      <a14:foregroundMark x1="1109" y1="71006" x2="1241" y2="71773"/>
                      <a14:foregroundMark x1="3417" y1="62240" x2="3437" y2="61775"/>
                      <a14:foregroundMark x1="2661" y1="80000" x2="2817" y2="76334"/>
                      <a14:foregroundMark x1="90133" y1="53491" x2="95011" y2="61302"/>
                      <a14:foregroundMark x1="96042" y1="68639" x2="97007" y2="75503"/>
                      <a14:foregroundMark x1="95011" y1="61302" x2="95626" y2="65680"/>
                      <a14:backgroundMark x1="58537" y1="9941" x2="58869" y2="10651"/>
                      <a14:backgroundMark x1="61973" y1="2959" x2="60310" y2="4379"/>
                      <a14:backgroundMark x1="95344" y1="66391" x2="95011" y2="65680"/>
                      <a14:backgroundMark x1="95344" y1="70296" x2="94789" y2="64379"/>
                      <a14:backgroundMark x1="40798" y1="73964" x2="43126" y2="72189"/>
                      <a14:backgroundMark x1="43570" y1="76213" x2="44457" y2="74675"/>
                      <a14:backgroundMark x1="45455" y1="70769" x2="45565" y2="71716"/>
                      <a14:backgroundMark x1="45455" y1="65444" x2="46231" y2="65444"/>
                      <a14:backgroundMark x1="42794" y1="67456" x2="43126" y2="67929"/>
                      <a14:backgroundMark x1="27162" y1="70651" x2="24834" y2="69586"/>
                      <a14:backgroundMark x1="22173" y1="67574" x2="21508" y2="65680"/>
                      <a14:backgroundMark x1="66186" y1="37041" x2="64634" y2="37633"/>
                      <a14:backgroundMark x1="75942" y1="34556" x2="75055" y2="34201"/>
                      <a14:backgroundMark x1="81596" y1="34675" x2="79379" y2="33254"/>
                      <a14:backgroundMark x1="82373" y1="45089" x2="81929" y2="45089"/>
                      <a14:backgroundMark x1="5654" y1="61893" x2="2661" y2="71124"/>
                      <a14:backgroundMark x1="2661" y1="71124" x2="4989" y2="76568"/>
                      <a14:backgroundMark x1="998" y1="63669" x2="1996" y2="62485"/>
                      <a14:backgroundMark x1="2439" y1="61420" x2="1109" y2="62840"/>
                      <a14:backgroundMark x1="8758" y1="57160" x2="5100" y2="61775"/>
                      <a14:backgroundMark x1="4767" y1="79290" x2="4102" y2="76923"/>
                      <a14:backgroundMark x1="95455" y1="65680" x2="95455" y2="68639"/>
                      <a14:backgroundMark x1="95455" y1="65680" x2="95011" y2="6426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74418" y="735910"/>
          <a:ext cx="594227" cy="55357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590914</xdr:colOff>
      <xdr:row>27</xdr:row>
      <xdr:rowOff>172572</xdr:rowOff>
    </xdr:to>
    <xdr:pic>
      <xdr:nvPicPr>
        <xdr:cNvPr id="15" name="Billede 14">
          <a:extLst>
            <a:ext uri="{FF2B5EF4-FFF2-40B4-BE49-F238E27FC236}">
              <a16:creationId xmlns:a16="http://schemas.microsoft.com/office/drawing/2014/main" id="{BB9DB8E8-CC39-43D1-882C-3C83A0A00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089" b="89941" l="2661" r="97007">
                      <a14:foregroundMark x1="66962" y1="7574" x2="60520" y2="9676"/>
                      <a14:foregroundMark x1="60353" y1="9320" x2="66741" y2="5325"/>
                      <a14:foregroundMark x1="66741" y1="5325" x2="59867" y2="8639"/>
                      <a14:foregroundMark x1="9313" y1="54911" x2="8059" y2="56636"/>
                      <a14:foregroundMark x1="1943" y1="70869" x2="1774" y2="71716"/>
                      <a14:foregroundMark x1="3521" y1="77239" x2="4656" y2="80828"/>
                      <a14:foregroundMark x1="793" y1="70460" x2="776" y2="70414"/>
                      <a14:foregroundMark x1="1276" y1="71757" x2="840" y2="70586"/>
                      <a14:foregroundMark x1="4656" y1="80828" x2="3348" y2="77318"/>
                      <a14:foregroundMark x1="776" y1="70414" x2="3437" y2="61657"/>
                      <a14:foregroundMark x1="7691" y1="56360" x2="9424" y2="54201"/>
                      <a14:foregroundMark x1="3437" y1="61657" x2="3782" y2="61227"/>
                      <a14:foregroundMark x1="9424" y1="54201" x2="2621" y2="61572"/>
                      <a14:foregroundMark x1="2173" y1="70951" x2="2181" y2="71344"/>
                      <a14:foregroundMark x1="2024" y1="63607" x2="2087" y2="66740"/>
                      <a14:foregroundMark x1="8242" y1="56773" x2="8426" y2="56450"/>
                      <a14:foregroundMark x1="2495" y1="64002" x2="2106" y2="64497"/>
                      <a14:foregroundMark x1="8426" y1="56450" x2="8198" y2="56740"/>
                      <a14:foregroundMark x1="2106" y1="64497" x2="2271" y2="66175"/>
                      <a14:foregroundMark x1="4000" y1="77020" x2="6541" y2="83669"/>
                      <a14:foregroundMark x1="6541" y1="83669" x2="10643" y2="87574"/>
                      <a14:foregroundMark x1="1182" y1="70598" x2="1109" y2="71006"/>
                      <a14:foregroundMark x1="2387" y1="63911" x2="1615" y2="68195"/>
                      <a14:foregroundMark x1="1495" y1="73245" x2="2661" y2="80000"/>
                      <a14:foregroundMark x1="1109" y1="71006" x2="1241" y2="71773"/>
                      <a14:foregroundMark x1="3417" y1="62240" x2="3437" y2="61775"/>
                      <a14:foregroundMark x1="2661" y1="80000" x2="2817" y2="76334"/>
                      <a14:foregroundMark x1="90133" y1="53491" x2="95011" y2="61302"/>
                      <a14:foregroundMark x1="96042" y1="68639" x2="97007" y2="75503"/>
                      <a14:foregroundMark x1="95011" y1="61302" x2="95626" y2="65680"/>
                      <a14:backgroundMark x1="58537" y1="9941" x2="58869" y2="10651"/>
                      <a14:backgroundMark x1="61973" y1="2959" x2="60310" y2="4379"/>
                      <a14:backgroundMark x1="95344" y1="66391" x2="95011" y2="65680"/>
                      <a14:backgroundMark x1="95344" y1="70296" x2="94789" y2="64379"/>
                      <a14:backgroundMark x1="40798" y1="73964" x2="43126" y2="72189"/>
                      <a14:backgroundMark x1="43570" y1="76213" x2="44457" y2="74675"/>
                      <a14:backgroundMark x1="45455" y1="70769" x2="45565" y2="71716"/>
                      <a14:backgroundMark x1="45455" y1="65444" x2="46231" y2="65444"/>
                      <a14:backgroundMark x1="42794" y1="67456" x2="43126" y2="67929"/>
                      <a14:backgroundMark x1="27162" y1="70651" x2="24834" y2="69586"/>
                      <a14:backgroundMark x1="22173" y1="67574" x2="21508" y2="65680"/>
                      <a14:backgroundMark x1="66186" y1="37041" x2="64634" y2="37633"/>
                      <a14:backgroundMark x1="75942" y1="34556" x2="75055" y2="34201"/>
                      <a14:backgroundMark x1="81596" y1="34675" x2="79379" y2="33254"/>
                      <a14:backgroundMark x1="82373" y1="45089" x2="81929" y2="45089"/>
                      <a14:backgroundMark x1="5654" y1="61893" x2="2661" y2="71124"/>
                      <a14:backgroundMark x1="2661" y1="71124" x2="4989" y2="76568"/>
                      <a14:backgroundMark x1="998" y1="63669" x2="1996" y2="62485"/>
                      <a14:backgroundMark x1="2439" y1="61420" x2="1109" y2="62840"/>
                      <a14:backgroundMark x1="8758" y1="57160" x2="5100" y2="61775"/>
                      <a14:backgroundMark x1="4767" y1="79290" x2="4102" y2="76923"/>
                      <a14:backgroundMark x1="95455" y1="65680" x2="95455" y2="68639"/>
                      <a14:backgroundMark x1="95455" y1="65680" x2="95011" y2="6426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52625" y="4762500"/>
          <a:ext cx="590914" cy="553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1A97-B9BC-4B86-9516-0D7850D5C35C}">
  <sheetPr>
    <tabColor theme="9" tint="-0.249977111117893"/>
  </sheetPr>
  <dimension ref="A1:K317"/>
  <sheetViews>
    <sheetView tabSelected="1" zoomScaleNormal="100" workbookViewId="0">
      <pane ySplit="1" topLeftCell="A26" activePane="bottomLeft" state="frozen"/>
      <selection pane="bottomLeft" activeCell="E29" sqref="E29"/>
    </sheetView>
  </sheetViews>
  <sheetFormatPr defaultRowHeight="15" x14ac:dyDescent="0.25"/>
  <cols>
    <col min="1" max="1" width="18" customWidth="1"/>
    <col min="2" max="4" width="13.140625" customWidth="1"/>
    <col min="5" max="5" width="50.5703125" customWidth="1"/>
    <col min="6" max="6" width="20.7109375" customWidth="1"/>
    <col min="7" max="7" width="22.42578125" customWidth="1"/>
    <col min="8" max="8" width="24.140625" customWidth="1"/>
    <col min="9" max="9" width="10.85546875" customWidth="1"/>
    <col min="10" max="10" width="31.5703125" customWidth="1"/>
    <col min="11" max="11" width="15.140625" customWidth="1"/>
  </cols>
  <sheetData>
    <row r="1" spans="1:11" s="9" customFormat="1" ht="60" customHeight="1" x14ac:dyDescent="0.25">
      <c r="A1" s="9" t="s">
        <v>71</v>
      </c>
      <c r="B1" s="9" t="s">
        <v>72</v>
      </c>
      <c r="C1" s="9" t="s">
        <v>73</v>
      </c>
      <c r="D1" s="9" t="s">
        <v>74</v>
      </c>
      <c r="E1" s="9" t="s">
        <v>75</v>
      </c>
      <c r="F1" s="9" t="s">
        <v>86</v>
      </c>
      <c r="G1" s="9" t="s">
        <v>98</v>
      </c>
      <c r="H1" s="9" t="s">
        <v>97</v>
      </c>
      <c r="I1" s="9" t="s">
        <v>100</v>
      </c>
      <c r="J1" s="9" t="s">
        <v>99</v>
      </c>
      <c r="K1" s="9" t="s">
        <v>101</v>
      </c>
    </row>
    <row r="2" spans="1:11" s="4" customFormat="1" x14ac:dyDescent="0.25">
      <c r="A2" s="4">
        <v>1</v>
      </c>
      <c r="B2" s="4" t="s">
        <v>9</v>
      </c>
      <c r="C2" s="5">
        <v>44670</v>
      </c>
      <c r="D2" s="4" t="s">
        <v>5</v>
      </c>
      <c r="H2" s="4" t="str">
        <f>B2</f>
        <v>Lup001</v>
      </c>
      <c r="I2" s="4">
        <v>1</v>
      </c>
      <c r="J2" s="4" t="str">
        <f>IF(I2=1,B2,"")</f>
        <v>Lup001</v>
      </c>
    </row>
    <row r="3" spans="1:11" s="4" customFormat="1" x14ac:dyDescent="0.25">
      <c r="A3" s="4">
        <v>2</v>
      </c>
      <c r="B3" s="4" t="s">
        <v>7</v>
      </c>
      <c r="C3" s="5">
        <v>44670</v>
      </c>
      <c r="D3" s="4" t="s">
        <v>5</v>
      </c>
      <c r="H3" s="4" t="str">
        <f t="shared" ref="H3:H57" si="0">B3</f>
        <v>Lup002</v>
      </c>
      <c r="I3" s="4">
        <v>0</v>
      </c>
      <c r="J3" s="4" t="str">
        <f>IF(I3=1,B3,"")</f>
        <v/>
      </c>
      <c r="K3" s="4" t="s">
        <v>105</v>
      </c>
    </row>
    <row r="4" spans="1:11" s="4" customFormat="1" x14ac:dyDescent="0.25">
      <c r="A4" s="4">
        <v>3</v>
      </c>
      <c r="B4" s="4" t="s">
        <v>8</v>
      </c>
      <c r="C4" s="5">
        <v>44670</v>
      </c>
      <c r="D4" s="4" t="s">
        <v>5</v>
      </c>
      <c r="H4" s="4" t="str">
        <f t="shared" si="0"/>
        <v>Lup003</v>
      </c>
      <c r="I4" s="4">
        <v>1</v>
      </c>
      <c r="J4" s="4" t="str">
        <f t="shared" ref="J4:J67" si="1">IF(I4=1,B4,"")</f>
        <v>Lup003</v>
      </c>
    </row>
    <row r="5" spans="1:11" s="4" customFormat="1" x14ac:dyDescent="0.25">
      <c r="A5" s="4">
        <v>4</v>
      </c>
      <c r="B5" s="4" t="s">
        <v>16</v>
      </c>
      <c r="C5" s="5">
        <v>44676</v>
      </c>
      <c r="D5" s="4" t="s">
        <v>5</v>
      </c>
      <c r="H5" s="4" t="str">
        <f t="shared" si="0"/>
        <v>Lup009</v>
      </c>
      <c r="I5" s="4">
        <v>1</v>
      </c>
      <c r="J5" s="4" t="str">
        <f t="shared" si="1"/>
        <v>Lup009</v>
      </c>
    </row>
    <row r="6" spans="1:11" s="7" customFormat="1" x14ac:dyDescent="0.25">
      <c r="A6" s="7">
        <v>5</v>
      </c>
      <c r="C6" s="8">
        <v>44676</v>
      </c>
      <c r="D6" s="7" t="s">
        <v>5</v>
      </c>
      <c r="E6" s="21" t="s">
        <v>108</v>
      </c>
      <c r="H6" s="4"/>
      <c r="J6" s="4" t="str">
        <f t="shared" si="1"/>
        <v/>
      </c>
    </row>
    <row r="7" spans="1:11" s="4" customFormat="1" x14ac:dyDescent="0.25">
      <c r="A7" s="4">
        <v>6</v>
      </c>
      <c r="B7" s="4" t="s">
        <v>17</v>
      </c>
      <c r="C7" s="5">
        <v>44676</v>
      </c>
      <c r="D7" s="4" t="s">
        <v>5</v>
      </c>
      <c r="H7" s="4" t="str">
        <f t="shared" si="0"/>
        <v>LUP010</v>
      </c>
      <c r="I7" s="4">
        <v>1</v>
      </c>
      <c r="J7" s="4" t="str">
        <f t="shared" si="1"/>
        <v>LUP010</v>
      </c>
    </row>
    <row r="8" spans="1:11" s="7" customFormat="1" x14ac:dyDescent="0.25">
      <c r="A8" s="7">
        <v>7</v>
      </c>
      <c r="C8" s="8">
        <v>44691</v>
      </c>
      <c r="D8" s="7" t="s">
        <v>5</v>
      </c>
      <c r="E8" s="7" t="s">
        <v>108</v>
      </c>
      <c r="F8" s="7" t="s">
        <v>76</v>
      </c>
      <c r="H8" s="4"/>
      <c r="J8" s="4" t="str">
        <f t="shared" si="1"/>
        <v/>
      </c>
    </row>
    <row r="9" spans="1:11" s="4" customFormat="1" x14ac:dyDescent="0.25">
      <c r="A9" s="4">
        <v>8</v>
      </c>
      <c r="B9" s="4" t="s">
        <v>10</v>
      </c>
      <c r="C9" s="5">
        <v>44691</v>
      </c>
      <c r="D9" s="4" t="s">
        <v>5</v>
      </c>
      <c r="H9" s="4" t="str">
        <f t="shared" si="0"/>
        <v>LUP004</v>
      </c>
      <c r="I9" s="4">
        <v>1</v>
      </c>
      <c r="J9" s="4" t="str">
        <f t="shared" si="1"/>
        <v>LUP004</v>
      </c>
    </row>
    <row r="10" spans="1:11" s="7" customFormat="1" x14ac:dyDescent="0.25">
      <c r="A10" s="7">
        <v>9</v>
      </c>
      <c r="C10" s="8">
        <v>44700</v>
      </c>
      <c r="D10" s="7" t="s">
        <v>5</v>
      </c>
      <c r="E10" s="7" t="s">
        <v>108</v>
      </c>
      <c r="H10" s="4"/>
      <c r="J10" s="4" t="str">
        <f t="shared" si="1"/>
        <v/>
      </c>
    </row>
    <row r="11" spans="1:11" s="4" customFormat="1" x14ac:dyDescent="0.25">
      <c r="A11" s="4">
        <v>10</v>
      </c>
      <c r="B11" s="4" t="s">
        <v>26</v>
      </c>
      <c r="C11" s="5">
        <v>44700</v>
      </c>
      <c r="D11" s="4" t="s">
        <v>5</v>
      </c>
      <c r="H11" s="4" t="str">
        <f t="shared" si="0"/>
        <v>LUP016</v>
      </c>
      <c r="I11" s="4">
        <v>1</v>
      </c>
      <c r="J11" s="4" t="str">
        <f t="shared" si="1"/>
        <v>LUP016</v>
      </c>
    </row>
    <row r="12" spans="1:11" s="7" customFormat="1" x14ac:dyDescent="0.25">
      <c r="A12" s="7">
        <v>11</v>
      </c>
      <c r="C12" s="8">
        <v>44700</v>
      </c>
      <c r="D12" s="7" t="s">
        <v>5</v>
      </c>
      <c r="E12" s="7" t="s">
        <v>82</v>
      </c>
      <c r="F12" s="7" t="s">
        <v>87</v>
      </c>
      <c r="H12" s="4"/>
      <c r="J12" s="4" t="str">
        <f t="shared" si="1"/>
        <v/>
      </c>
    </row>
    <row r="13" spans="1:11" s="4" customFormat="1" x14ac:dyDescent="0.25">
      <c r="A13" s="4">
        <v>12</v>
      </c>
      <c r="B13" s="4" t="s">
        <v>12</v>
      </c>
      <c r="C13" s="5">
        <v>44700</v>
      </c>
      <c r="D13" s="4" t="s">
        <v>5</v>
      </c>
      <c r="G13" s="4" t="s">
        <v>109</v>
      </c>
      <c r="I13" s="4">
        <v>0</v>
      </c>
      <c r="J13" s="4" t="str">
        <f t="shared" si="1"/>
        <v/>
      </c>
    </row>
    <row r="14" spans="1:11" s="4" customFormat="1" x14ac:dyDescent="0.25">
      <c r="A14" s="4">
        <v>13</v>
      </c>
      <c r="B14" s="4" t="s">
        <v>13</v>
      </c>
      <c r="C14" s="5">
        <v>44700</v>
      </c>
      <c r="D14" s="4" t="s">
        <v>5</v>
      </c>
      <c r="H14" s="4" t="str">
        <f t="shared" si="0"/>
        <v>LUP007</v>
      </c>
      <c r="I14" s="4">
        <v>1</v>
      </c>
      <c r="J14" s="4" t="str">
        <f t="shared" si="1"/>
        <v>LUP007</v>
      </c>
    </row>
    <row r="15" spans="1:11" s="7" customFormat="1" x14ac:dyDescent="0.25">
      <c r="A15" s="7">
        <v>14</v>
      </c>
      <c r="C15" s="8">
        <v>44705</v>
      </c>
      <c r="D15" s="7" t="s">
        <v>5</v>
      </c>
      <c r="E15" s="7" t="s">
        <v>77</v>
      </c>
      <c r="H15" s="4"/>
      <c r="J15" s="4" t="str">
        <f t="shared" si="1"/>
        <v/>
      </c>
    </row>
    <row r="16" spans="1:11" s="4" customFormat="1" x14ac:dyDescent="0.25">
      <c r="A16" s="4">
        <v>15</v>
      </c>
      <c r="B16" s="4" t="s">
        <v>11</v>
      </c>
      <c r="C16" s="5">
        <v>44705</v>
      </c>
      <c r="D16" s="4" t="s">
        <v>5</v>
      </c>
      <c r="H16" s="4" t="str">
        <f t="shared" si="0"/>
        <v>LUP005</v>
      </c>
      <c r="I16" s="4">
        <v>1</v>
      </c>
      <c r="J16" s="4" t="str">
        <f t="shared" si="1"/>
        <v>LUP005</v>
      </c>
    </row>
    <row r="17" spans="1:11" s="4" customFormat="1" x14ac:dyDescent="0.25">
      <c r="A17" s="4">
        <v>16</v>
      </c>
      <c r="B17" s="4" t="s">
        <v>14</v>
      </c>
      <c r="C17" s="5">
        <v>44705</v>
      </c>
      <c r="D17" s="4" t="s">
        <v>5</v>
      </c>
      <c r="H17" s="4" t="str">
        <f t="shared" si="0"/>
        <v>LUP008</v>
      </c>
      <c r="I17" s="4">
        <v>1</v>
      </c>
      <c r="J17" s="4" t="str">
        <f t="shared" si="1"/>
        <v>LUP008</v>
      </c>
    </row>
    <row r="18" spans="1:11" s="10" customFormat="1" x14ac:dyDescent="0.25">
      <c r="A18" s="10">
        <v>17</v>
      </c>
      <c r="B18" s="10" t="s">
        <v>23</v>
      </c>
      <c r="C18" s="11">
        <v>44764</v>
      </c>
      <c r="D18" s="10" t="s">
        <v>5</v>
      </c>
      <c r="E18" s="4"/>
      <c r="H18" s="4" t="str">
        <f t="shared" si="0"/>
        <v>LUP013</v>
      </c>
      <c r="I18" s="10">
        <v>1</v>
      </c>
      <c r="J18" s="4" t="str">
        <f t="shared" si="1"/>
        <v>LUP013</v>
      </c>
    </row>
    <row r="19" spans="1:11" s="4" customFormat="1" x14ac:dyDescent="0.25">
      <c r="A19" s="4">
        <v>18</v>
      </c>
      <c r="B19" s="4" t="s">
        <v>18</v>
      </c>
      <c r="C19" s="5">
        <v>44784</v>
      </c>
      <c r="D19" s="4" t="s">
        <v>5</v>
      </c>
      <c r="H19" s="4" t="str">
        <f t="shared" si="0"/>
        <v>Lup011</v>
      </c>
      <c r="I19" s="4">
        <v>0</v>
      </c>
      <c r="J19" s="4" t="str">
        <f t="shared" si="1"/>
        <v/>
      </c>
      <c r="K19" s="4" t="s">
        <v>105</v>
      </c>
    </row>
    <row r="20" spans="1:11" s="4" customFormat="1" x14ac:dyDescent="0.25">
      <c r="A20" s="4">
        <v>19</v>
      </c>
      <c r="B20" s="4" t="s">
        <v>21</v>
      </c>
      <c r="C20" s="5">
        <v>44788</v>
      </c>
      <c r="D20" s="4" t="s">
        <v>5</v>
      </c>
      <c r="H20" s="4" t="str">
        <f t="shared" si="0"/>
        <v>LUP012</v>
      </c>
      <c r="I20" s="4">
        <v>1</v>
      </c>
      <c r="J20" s="4" t="str">
        <f t="shared" si="1"/>
        <v>LUP012</v>
      </c>
    </row>
    <row r="21" spans="1:11" s="7" customFormat="1" x14ac:dyDescent="0.25">
      <c r="A21" s="7">
        <v>20</v>
      </c>
      <c r="C21" s="8">
        <v>44797</v>
      </c>
      <c r="D21" s="7" t="s">
        <v>5</v>
      </c>
      <c r="E21" s="7" t="s">
        <v>77</v>
      </c>
      <c r="H21" s="4"/>
      <c r="J21" s="4" t="str">
        <f t="shared" si="1"/>
        <v/>
      </c>
    </row>
    <row r="22" spans="1:11" s="7" customFormat="1" x14ac:dyDescent="0.25">
      <c r="A22" s="7">
        <v>21</v>
      </c>
      <c r="D22" s="7" t="s">
        <v>5</v>
      </c>
      <c r="E22" s="7" t="s">
        <v>77</v>
      </c>
      <c r="H22" s="4"/>
      <c r="J22" s="4" t="str">
        <f t="shared" si="1"/>
        <v/>
      </c>
    </row>
    <row r="23" spans="1:11" s="4" customFormat="1" x14ac:dyDescent="0.25">
      <c r="A23" s="4">
        <v>22</v>
      </c>
      <c r="B23" s="4" t="s">
        <v>24</v>
      </c>
      <c r="C23" s="5">
        <v>44813</v>
      </c>
      <c r="D23" s="4" t="s">
        <v>22</v>
      </c>
      <c r="H23" s="4" t="str">
        <f t="shared" si="0"/>
        <v>LUP014</v>
      </c>
      <c r="I23" s="4">
        <v>1</v>
      </c>
      <c r="J23" s="4" t="str">
        <f t="shared" si="1"/>
        <v>LUP014</v>
      </c>
    </row>
    <row r="24" spans="1:11" s="4" customFormat="1" x14ac:dyDescent="0.25">
      <c r="A24" s="4">
        <v>23</v>
      </c>
      <c r="B24" s="4" t="s">
        <v>25</v>
      </c>
      <c r="C24" s="5">
        <v>44845</v>
      </c>
      <c r="D24" s="4" t="s">
        <v>5</v>
      </c>
      <c r="H24" s="4" t="str">
        <f t="shared" si="0"/>
        <v>LUP015</v>
      </c>
      <c r="I24" s="4">
        <v>1</v>
      </c>
      <c r="J24" s="4" t="str">
        <f t="shared" si="1"/>
        <v>LUP015</v>
      </c>
    </row>
    <row r="25" spans="1:11" s="16" customFormat="1" x14ac:dyDescent="0.25">
      <c r="A25" s="16">
        <v>24</v>
      </c>
      <c r="C25" s="18">
        <v>44845</v>
      </c>
      <c r="D25" s="16" t="s">
        <v>5</v>
      </c>
      <c r="E25" s="16" t="s">
        <v>111</v>
      </c>
      <c r="H25" s="4"/>
      <c r="J25" s="4" t="str">
        <f t="shared" si="1"/>
        <v/>
      </c>
    </row>
    <row r="26" spans="1:11" s="23" customFormat="1" x14ac:dyDescent="0.25">
      <c r="A26" s="23">
        <v>25</v>
      </c>
      <c r="B26" s="23" t="s">
        <v>33</v>
      </c>
      <c r="C26" s="24">
        <v>44845</v>
      </c>
      <c r="D26" s="23" t="s">
        <v>5</v>
      </c>
      <c r="G26" s="23" t="s">
        <v>110</v>
      </c>
      <c r="H26" s="4"/>
      <c r="I26" s="23">
        <v>0</v>
      </c>
      <c r="J26" s="4" t="str">
        <f t="shared" si="1"/>
        <v/>
      </c>
      <c r="K26" s="23" t="s">
        <v>104</v>
      </c>
    </row>
    <row r="27" spans="1:11" s="4" customFormat="1" x14ac:dyDescent="0.25">
      <c r="A27" s="4">
        <v>26</v>
      </c>
      <c r="B27" s="4" t="s">
        <v>30</v>
      </c>
      <c r="C27" s="5">
        <v>44854</v>
      </c>
      <c r="D27" s="4" t="s">
        <v>5</v>
      </c>
      <c r="H27" s="4" t="str">
        <f t="shared" si="0"/>
        <v>Lup019</v>
      </c>
      <c r="I27" s="4">
        <v>1</v>
      </c>
      <c r="J27" s="4" t="str">
        <f t="shared" si="1"/>
        <v>Lup019</v>
      </c>
    </row>
    <row r="28" spans="1:11" s="7" customFormat="1" x14ac:dyDescent="0.25">
      <c r="A28" s="7">
        <v>27</v>
      </c>
      <c r="C28" s="8">
        <v>44855</v>
      </c>
      <c r="D28" s="7" t="s">
        <v>5</v>
      </c>
      <c r="E28" s="7" t="s">
        <v>78</v>
      </c>
      <c r="H28" s="4"/>
      <c r="J28" s="4" t="str">
        <f t="shared" si="1"/>
        <v/>
      </c>
    </row>
    <row r="29" spans="1:11" s="7" customFormat="1" x14ac:dyDescent="0.25">
      <c r="A29" s="7">
        <v>28</v>
      </c>
      <c r="C29" s="8">
        <v>44855</v>
      </c>
      <c r="D29" s="7" t="s">
        <v>5</v>
      </c>
      <c r="E29" s="7" t="s">
        <v>77</v>
      </c>
      <c r="H29" s="4"/>
      <c r="J29" s="4" t="str">
        <f t="shared" si="1"/>
        <v/>
      </c>
    </row>
    <row r="30" spans="1:11" s="7" customFormat="1" x14ac:dyDescent="0.25">
      <c r="A30" s="7">
        <v>29</v>
      </c>
      <c r="C30" s="8">
        <v>44855</v>
      </c>
      <c r="D30" s="7" t="s">
        <v>5</v>
      </c>
      <c r="E30" s="7" t="s">
        <v>77</v>
      </c>
      <c r="H30" s="4"/>
      <c r="J30" s="4" t="str">
        <f t="shared" si="1"/>
        <v/>
      </c>
    </row>
    <row r="31" spans="1:11" s="7" customFormat="1" x14ac:dyDescent="0.25">
      <c r="A31" s="7">
        <v>30</v>
      </c>
      <c r="C31" s="8">
        <v>44855</v>
      </c>
      <c r="D31" s="7" t="s">
        <v>5</v>
      </c>
      <c r="E31" s="7" t="s">
        <v>77</v>
      </c>
      <c r="H31" s="4"/>
      <c r="J31" s="4" t="str">
        <f t="shared" si="1"/>
        <v/>
      </c>
    </row>
    <row r="32" spans="1:11" s="4" customFormat="1" x14ac:dyDescent="0.25">
      <c r="A32" s="4">
        <v>31</v>
      </c>
      <c r="B32" s="4" t="s">
        <v>27</v>
      </c>
      <c r="C32" s="5">
        <v>44861</v>
      </c>
      <c r="D32" s="4" t="s">
        <v>5</v>
      </c>
      <c r="H32" s="4" t="str">
        <f t="shared" si="0"/>
        <v>LUP017</v>
      </c>
      <c r="I32" s="4">
        <v>1</v>
      </c>
      <c r="J32" s="4" t="str">
        <f t="shared" si="1"/>
        <v>LUP017</v>
      </c>
    </row>
    <row r="33" spans="1:10" s="7" customFormat="1" x14ac:dyDescent="0.25">
      <c r="A33" s="7">
        <v>32</v>
      </c>
      <c r="D33" s="7" t="s">
        <v>3</v>
      </c>
      <c r="E33" s="7" t="s">
        <v>82</v>
      </c>
      <c r="F33" s="7" t="s">
        <v>107</v>
      </c>
      <c r="H33" s="4"/>
      <c r="J33" s="4" t="str">
        <f t="shared" si="1"/>
        <v/>
      </c>
    </row>
    <row r="34" spans="1:10" s="4" customFormat="1" x14ac:dyDescent="0.25">
      <c r="A34" s="4">
        <v>33</v>
      </c>
      <c r="B34" s="4" t="s">
        <v>28</v>
      </c>
      <c r="C34" s="5">
        <v>44866</v>
      </c>
      <c r="D34" s="4" t="s">
        <v>5</v>
      </c>
      <c r="H34" s="4" t="str">
        <f t="shared" si="0"/>
        <v>LUP018</v>
      </c>
      <c r="I34" s="4">
        <v>1</v>
      </c>
      <c r="J34" s="4" t="str">
        <f t="shared" si="1"/>
        <v>LUP018</v>
      </c>
    </row>
    <row r="35" spans="1:10" s="4" customFormat="1" x14ac:dyDescent="0.25">
      <c r="A35" s="4">
        <v>34</v>
      </c>
      <c r="B35" s="4" t="s">
        <v>39</v>
      </c>
      <c r="C35" s="5">
        <v>44903</v>
      </c>
      <c r="D35" s="4" t="s">
        <v>5</v>
      </c>
      <c r="H35" s="4" t="str">
        <f t="shared" si="0"/>
        <v>Lup028</v>
      </c>
      <c r="I35" s="4">
        <v>1</v>
      </c>
      <c r="J35" s="4" t="str">
        <f t="shared" si="1"/>
        <v>Lup028</v>
      </c>
    </row>
    <row r="36" spans="1:10" s="4" customFormat="1" x14ac:dyDescent="0.25">
      <c r="A36" s="4">
        <v>35</v>
      </c>
      <c r="B36" s="4" t="s">
        <v>31</v>
      </c>
      <c r="C36" s="5">
        <v>44914</v>
      </c>
      <c r="D36" s="4" t="s">
        <v>5</v>
      </c>
      <c r="H36" s="4" t="str">
        <f t="shared" si="0"/>
        <v>Lup020</v>
      </c>
      <c r="I36" s="4">
        <v>1</v>
      </c>
      <c r="J36" s="4" t="str">
        <f t="shared" si="1"/>
        <v>Lup020</v>
      </c>
    </row>
    <row r="37" spans="1:10" s="4" customFormat="1" x14ac:dyDescent="0.25">
      <c r="A37" s="4">
        <v>36</v>
      </c>
      <c r="B37" s="4" t="s">
        <v>34</v>
      </c>
      <c r="C37" s="5">
        <v>44939</v>
      </c>
      <c r="D37" s="4" t="s">
        <v>5</v>
      </c>
      <c r="H37" s="4" t="str">
        <f t="shared" si="0"/>
        <v>Lup023</v>
      </c>
      <c r="I37" s="4">
        <v>1</v>
      </c>
      <c r="J37" s="4" t="str">
        <f t="shared" si="1"/>
        <v>Lup023</v>
      </c>
    </row>
    <row r="38" spans="1:10" s="13" customFormat="1" x14ac:dyDescent="0.25">
      <c r="A38" s="13">
        <v>37</v>
      </c>
      <c r="C38" s="14">
        <v>44949</v>
      </c>
      <c r="D38" s="13" t="s">
        <v>5</v>
      </c>
      <c r="E38" s="13" t="s">
        <v>108</v>
      </c>
      <c r="H38" s="4"/>
      <c r="J38" s="4" t="str">
        <f t="shared" si="1"/>
        <v/>
      </c>
    </row>
    <row r="39" spans="1:10" s="13" customFormat="1" x14ac:dyDescent="0.25">
      <c r="A39" s="13">
        <v>38</v>
      </c>
      <c r="C39" s="14">
        <v>44965</v>
      </c>
      <c r="D39" s="13" t="s">
        <v>5</v>
      </c>
      <c r="E39" s="7" t="s">
        <v>77</v>
      </c>
      <c r="H39" s="4"/>
      <c r="J39" s="4" t="str">
        <f t="shared" si="1"/>
        <v/>
      </c>
    </row>
    <row r="40" spans="1:10" s="13" customFormat="1" x14ac:dyDescent="0.25">
      <c r="A40" s="13">
        <v>39</v>
      </c>
      <c r="D40" s="13" t="s">
        <v>5</v>
      </c>
      <c r="E40" s="13" t="s">
        <v>111</v>
      </c>
      <c r="H40" s="4"/>
      <c r="J40" s="4" t="str">
        <f t="shared" si="1"/>
        <v/>
      </c>
    </row>
    <row r="41" spans="1:10" s="13" customFormat="1" x14ac:dyDescent="0.25">
      <c r="A41" s="13">
        <v>40</v>
      </c>
      <c r="D41" s="13" t="s">
        <v>5</v>
      </c>
      <c r="E41" s="7" t="s">
        <v>79</v>
      </c>
      <c r="H41" s="4"/>
      <c r="J41" s="4" t="str">
        <f t="shared" si="1"/>
        <v/>
      </c>
    </row>
    <row r="42" spans="1:10" s="13" customFormat="1" x14ac:dyDescent="0.25">
      <c r="A42" s="13">
        <v>41</v>
      </c>
      <c r="C42" s="14">
        <v>44943</v>
      </c>
      <c r="D42" s="13" t="s">
        <v>5</v>
      </c>
      <c r="E42" s="13" t="s">
        <v>108</v>
      </c>
      <c r="H42" s="4"/>
      <c r="J42" s="4" t="str">
        <f t="shared" si="1"/>
        <v/>
      </c>
    </row>
    <row r="43" spans="1:10" s="12" customFormat="1" x14ac:dyDescent="0.25">
      <c r="A43" s="12">
        <v>42</v>
      </c>
      <c r="B43" s="12" t="s">
        <v>57</v>
      </c>
      <c r="C43" s="15" t="s">
        <v>32</v>
      </c>
      <c r="D43" s="12" t="s">
        <v>5</v>
      </c>
      <c r="H43" s="4" t="str">
        <f t="shared" si="0"/>
        <v>Lup022</v>
      </c>
      <c r="I43" s="12">
        <v>1</v>
      </c>
      <c r="J43" s="4" t="str">
        <f t="shared" si="1"/>
        <v>Lup022</v>
      </c>
    </row>
    <row r="44" spans="1:10" s="13" customFormat="1" x14ac:dyDescent="0.25">
      <c r="A44" s="13">
        <v>43</v>
      </c>
      <c r="C44" s="14">
        <v>44943</v>
      </c>
      <c r="D44" s="13" t="s">
        <v>5</v>
      </c>
      <c r="E44" s="7" t="s">
        <v>82</v>
      </c>
      <c r="F44" s="13" t="s">
        <v>90</v>
      </c>
      <c r="H44" s="4"/>
      <c r="J44" s="4" t="str">
        <f t="shared" si="1"/>
        <v/>
      </c>
    </row>
    <row r="45" spans="1:10" s="7" customFormat="1" x14ac:dyDescent="0.25">
      <c r="A45" s="7">
        <v>44</v>
      </c>
      <c r="C45" s="8">
        <v>44950</v>
      </c>
      <c r="D45" s="7" t="s">
        <v>5</v>
      </c>
      <c r="E45" s="7" t="s">
        <v>108</v>
      </c>
      <c r="H45" s="4"/>
      <c r="J45" s="4" t="str">
        <f t="shared" si="1"/>
        <v/>
      </c>
    </row>
    <row r="46" spans="1:10" s="4" customFormat="1" x14ac:dyDescent="0.25">
      <c r="A46" s="4">
        <v>45</v>
      </c>
      <c r="B46" s="4" t="s">
        <v>35</v>
      </c>
      <c r="C46" s="5">
        <v>44958</v>
      </c>
      <c r="D46" s="4" t="s">
        <v>5</v>
      </c>
      <c r="E46" s="12"/>
      <c r="H46" s="4" t="str">
        <f t="shared" si="0"/>
        <v>LUP024</v>
      </c>
      <c r="I46" s="4">
        <v>1</v>
      </c>
      <c r="J46" s="4" t="str">
        <f t="shared" si="1"/>
        <v>LUP024</v>
      </c>
    </row>
    <row r="47" spans="1:10" s="7" customFormat="1" x14ac:dyDescent="0.25">
      <c r="A47" s="7">
        <v>46</v>
      </c>
      <c r="C47" s="8">
        <v>44965</v>
      </c>
      <c r="D47" s="7" t="s">
        <v>5</v>
      </c>
      <c r="E47" s="7" t="s">
        <v>108</v>
      </c>
      <c r="H47" s="4"/>
      <c r="J47" s="4" t="str">
        <f t="shared" si="1"/>
        <v/>
      </c>
    </row>
    <row r="48" spans="1:10" s="16" customFormat="1" x14ac:dyDescent="0.25">
      <c r="A48" s="16">
        <v>47</v>
      </c>
      <c r="D48" s="16" t="str">
        <f t="shared" ref="D48:D53" si="2">D47</f>
        <v>MLA</v>
      </c>
      <c r="E48" s="19" t="s">
        <v>111</v>
      </c>
      <c r="H48" s="4"/>
      <c r="J48" s="4" t="str">
        <f t="shared" si="1"/>
        <v/>
      </c>
    </row>
    <row r="49" spans="1:10" s="16" customFormat="1" x14ac:dyDescent="0.25">
      <c r="A49" s="16">
        <v>48</v>
      </c>
      <c r="D49" s="16" t="str">
        <f t="shared" si="2"/>
        <v>MLA</v>
      </c>
      <c r="E49" s="19" t="s">
        <v>111</v>
      </c>
      <c r="H49" s="4"/>
      <c r="J49" s="4" t="str">
        <f t="shared" si="1"/>
        <v/>
      </c>
    </row>
    <row r="50" spans="1:10" s="7" customFormat="1" x14ac:dyDescent="0.25">
      <c r="A50" s="7">
        <v>49</v>
      </c>
      <c r="D50" s="7" t="str">
        <f t="shared" si="2"/>
        <v>MLA</v>
      </c>
      <c r="E50" s="7" t="s">
        <v>77</v>
      </c>
      <c r="H50" s="4"/>
      <c r="J50" s="4" t="str">
        <f t="shared" si="1"/>
        <v/>
      </c>
    </row>
    <row r="51" spans="1:10" s="7" customFormat="1" x14ac:dyDescent="0.25">
      <c r="A51" s="7">
        <v>50</v>
      </c>
      <c r="C51" s="8">
        <v>44958</v>
      </c>
      <c r="D51" s="7" t="str">
        <f t="shared" si="2"/>
        <v>MLA</v>
      </c>
      <c r="E51" s="7" t="s">
        <v>77</v>
      </c>
      <c r="H51" s="4"/>
      <c r="J51" s="4" t="str">
        <f t="shared" si="1"/>
        <v/>
      </c>
    </row>
    <row r="52" spans="1:10" s="4" customFormat="1" x14ac:dyDescent="0.25">
      <c r="A52" s="4">
        <v>51</v>
      </c>
      <c r="B52" s="4" t="s">
        <v>37</v>
      </c>
      <c r="C52" s="5">
        <v>44959</v>
      </c>
      <c r="D52" s="4" t="str">
        <f t="shared" si="2"/>
        <v>MLA</v>
      </c>
      <c r="E52" s="12"/>
      <c r="H52" s="4" t="str">
        <f t="shared" si="0"/>
        <v>Lup026</v>
      </c>
      <c r="I52" s="4">
        <v>1</v>
      </c>
      <c r="J52" s="4" t="str">
        <f t="shared" si="1"/>
        <v>Lup026</v>
      </c>
    </row>
    <row r="53" spans="1:10" s="7" customFormat="1" x14ac:dyDescent="0.25">
      <c r="A53" s="7">
        <v>52</v>
      </c>
      <c r="C53" s="8">
        <v>44958</v>
      </c>
      <c r="D53" s="7" t="str">
        <f t="shared" si="2"/>
        <v>MLA</v>
      </c>
      <c r="E53" s="13" t="s">
        <v>108</v>
      </c>
      <c r="H53" s="4"/>
      <c r="J53" s="4" t="str">
        <f t="shared" si="1"/>
        <v/>
      </c>
    </row>
    <row r="54" spans="1:10" s="7" customFormat="1" x14ac:dyDescent="0.25">
      <c r="A54" s="7">
        <v>53</v>
      </c>
      <c r="C54" s="8">
        <v>44959</v>
      </c>
      <c r="D54" s="7" t="s">
        <v>5</v>
      </c>
      <c r="E54" s="7" t="s">
        <v>111</v>
      </c>
      <c r="H54" s="4"/>
      <c r="J54" s="4" t="str">
        <f t="shared" si="1"/>
        <v/>
      </c>
    </row>
    <row r="55" spans="1:10" s="4" customFormat="1" x14ac:dyDescent="0.25">
      <c r="A55" s="4">
        <v>54</v>
      </c>
      <c r="B55" s="4" t="s">
        <v>36</v>
      </c>
      <c r="C55" s="5">
        <v>44960</v>
      </c>
      <c r="D55" s="4" t="s">
        <v>5</v>
      </c>
      <c r="H55" s="4" t="str">
        <f t="shared" si="0"/>
        <v>LUP025</v>
      </c>
      <c r="I55" s="4">
        <v>1</v>
      </c>
      <c r="J55" s="4" t="str">
        <f t="shared" si="1"/>
        <v>LUP025</v>
      </c>
    </row>
    <row r="56" spans="1:10" s="7" customFormat="1" x14ac:dyDescent="0.25">
      <c r="A56" s="7">
        <v>55</v>
      </c>
      <c r="C56" s="8">
        <v>44960</v>
      </c>
      <c r="D56" s="7" t="s">
        <v>5</v>
      </c>
      <c r="E56" s="13" t="s">
        <v>108</v>
      </c>
      <c r="H56" s="4"/>
      <c r="J56" s="4" t="str">
        <f t="shared" si="1"/>
        <v/>
      </c>
    </row>
    <row r="57" spans="1:10" s="4" customFormat="1" x14ac:dyDescent="0.25">
      <c r="A57" s="4">
        <v>56</v>
      </c>
      <c r="B57" s="4" t="s">
        <v>67</v>
      </c>
      <c r="C57" s="4" t="s">
        <v>43</v>
      </c>
      <c r="D57" s="4" t="s">
        <v>5</v>
      </c>
      <c r="H57" s="4" t="str">
        <f t="shared" si="0"/>
        <v>Lup052</v>
      </c>
      <c r="I57" s="4">
        <v>1</v>
      </c>
      <c r="J57" s="4" t="str">
        <f t="shared" si="1"/>
        <v>Lup052</v>
      </c>
    </row>
    <row r="58" spans="1:10" s="7" customFormat="1" x14ac:dyDescent="0.25">
      <c r="A58" s="7">
        <v>57</v>
      </c>
      <c r="D58" s="7" t="s">
        <v>5</v>
      </c>
      <c r="E58" s="7" t="s">
        <v>84</v>
      </c>
      <c r="H58" s="4"/>
      <c r="J58" s="4" t="str">
        <f t="shared" si="1"/>
        <v/>
      </c>
    </row>
    <row r="59" spans="1:10" s="7" customFormat="1" x14ac:dyDescent="0.25">
      <c r="A59" s="7">
        <v>58</v>
      </c>
      <c r="D59" s="7" t="s">
        <v>5</v>
      </c>
      <c r="E59" s="7" t="s">
        <v>82</v>
      </c>
      <c r="F59" s="7" t="s">
        <v>80</v>
      </c>
      <c r="H59" s="4"/>
      <c r="J59" s="4" t="str">
        <f t="shared" si="1"/>
        <v/>
      </c>
    </row>
    <row r="60" spans="1:10" s="7" customFormat="1" x14ac:dyDescent="0.25">
      <c r="A60" s="7">
        <v>59</v>
      </c>
      <c r="D60" s="7" t="s">
        <v>5</v>
      </c>
      <c r="E60" s="7" t="s">
        <v>82</v>
      </c>
      <c r="F60" s="7" t="s">
        <v>81</v>
      </c>
      <c r="H60" s="10"/>
      <c r="J60" s="4" t="str">
        <f t="shared" si="1"/>
        <v/>
      </c>
    </row>
    <row r="61" spans="1:10" s="16" customFormat="1" x14ac:dyDescent="0.25">
      <c r="A61" s="16">
        <v>60</v>
      </c>
      <c r="C61" s="18">
        <v>44971</v>
      </c>
      <c r="D61" s="16" t="s">
        <v>5</v>
      </c>
      <c r="E61" s="16" t="s">
        <v>111</v>
      </c>
      <c r="H61" s="4"/>
      <c r="J61" s="4" t="str">
        <f t="shared" si="1"/>
        <v/>
      </c>
    </row>
    <row r="62" spans="1:10" s="7" customFormat="1" x14ac:dyDescent="0.25">
      <c r="A62" s="7">
        <v>61</v>
      </c>
      <c r="C62" s="8">
        <v>44971</v>
      </c>
      <c r="D62" s="7" t="s">
        <v>5</v>
      </c>
      <c r="E62" s="7" t="s">
        <v>77</v>
      </c>
      <c r="H62" s="4"/>
      <c r="J62" s="4" t="str">
        <f t="shared" si="1"/>
        <v/>
      </c>
    </row>
    <row r="63" spans="1:10" s="7" customFormat="1" x14ac:dyDescent="0.25">
      <c r="A63" s="7">
        <v>62</v>
      </c>
      <c r="C63" s="8">
        <v>44971</v>
      </c>
      <c r="D63" s="7" t="s">
        <v>5</v>
      </c>
      <c r="E63" s="7" t="s">
        <v>111</v>
      </c>
      <c r="H63" s="4"/>
      <c r="J63" s="4" t="str">
        <f t="shared" si="1"/>
        <v/>
      </c>
    </row>
    <row r="64" spans="1:10" s="7" customFormat="1" x14ac:dyDescent="0.25">
      <c r="A64" s="7">
        <v>63</v>
      </c>
      <c r="C64" s="8">
        <v>44972</v>
      </c>
      <c r="D64" s="7" t="s">
        <v>5</v>
      </c>
      <c r="E64" s="7" t="s">
        <v>77</v>
      </c>
      <c r="H64" s="4"/>
      <c r="J64" s="4" t="str">
        <f t="shared" si="1"/>
        <v/>
      </c>
    </row>
    <row r="65" spans="1:10" s="16" customFormat="1" x14ac:dyDescent="0.25">
      <c r="A65" s="16">
        <v>64</v>
      </c>
      <c r="C65" s="18">
        <v>44971</v>
      </c>
      <c r="D65" s="16" t="s">
        <v>5</v>
      </c>
      <c r="E65" s="16" t="s">
        <v>111</v>
      </c>
      <c r="H65" s="4"/>
      <c r="J65" s="4" t="str">
        <f t="shared" si="1"/>
        <v/>
      </c>
    </row>
    <row r="66" spans="1:10" s="7" customFormat="1" x14ac:dyDescent="0.25">
      <c r="A66" s="7">
        <v>65</v>
      </c>
      <c r="C66" s="8">
        <v>45184</v>
      </c>
      <c r="D66" s="7" t="s">
        <v>5</v>
      </c>
      <c r="E66" s="22" t="s">
        <v>77</v>
      </c>
      <c r="H66" s="4"/>
      <c r="J66" s="4" t="str">
        <f t="shared" si="1"/>
        <v/>
      </c>
    </row>
    <row r="67" spans="1:10" s="16" customFormat="1" x14ac:dyDescent="0.25">
      <c r="A67" s="16">
        <v>66</v>
      </c>
      <c r="D67" s="16" t="s">
        <v>5</v>
      </c>
      <c r="E67" s="20" t="s">
        <v>111</v>
      </c>
      <c r="H67" s="4"/>
      <c r="J67" s="4" t="str">
        <f t="shared" si="1"/>
        <v/>
      </c>
    </row>
    <row r="68" spans="1:10" s="4" customFormat="1" x14ac:dyDescent="0.25">
      <c r="A68" s="4">
        <v>67</v>
      </c>
      <c r="B68" s="4" t="s">
        <v>38</v>
      </c>
      <c r="C68" s="5">
        <v>44988</v>
      </c>
      <c r="D68" s="4" t="s">
        <v>5</v>
      </c>
      <c r="H68" s="4" t="str">
        <f t="shared" ref="H68:H130" si="3">B68</f>
        <v>LUP027</v>
      </c>
      <c r="I68" s="4">
        <v>1</v>
      </c>
      <c r="J68" s="4" t="str">
        <f t="shared" ref="J68:J131" si="4">IF(I68=1,B68,"")</f>
        <v>LUP027</v>
      </c>
    </row>
    <row r="69" spans="1:10" s="16" customFormat="1" x14ac:dyDescent="0.25">
      <c r="A69" s="16">
        <v>68</v>
      </c>
      <c r="C69" s="17">
        <v>44987</v>
      </c>
      <c r="D69" s="16" t="s">
        <v>5</v>
      </c>
      <c r="E69" s="16" t="s">
        <v>111</v>
      </c>
      <c r="H69" s="4"/>
      <c r="J69" s="4" t="str">
        <f t="shared" si="4"/>
        <v/>
      </c>
    </row>
    <row r="70" spans="1:10" s="7" customFormat="1" x14ac:dyDescent="0.25">
      <c r="A70" s="7">
        <v>69</v>
      </c>
      <c r="C70" s="8">
        <v>44988</v>
      </c>
      <c r="D70" s="7" t="s">
        <v>5</v>
      </c>
      <c r="E70" s="22" t="s">
        <v>108</v>
      </c>
      <c r="H70" s="4"/>
      <c r="J70" s="4" t="str">
        <f t="shared" si="4"/>
        <v/>
      </c>
    </row>
    <row r="71" spans="1:10" s="7" customFormat="1" x14ac:dyDescent="0.25">
      <c r="A71" s="7">
        <v>70</v>
      </c>
      <c r="C71" s="8">
        <v>44988</v>
      </c>
      <c r="D71" s="7" t="s">
        <v>5</v>
      </c>
      <c r="E71" s="7" t="s">
        <v>78</v>
      </c>
      <c r="H71" s="4"/>
      <c r="J71" s="4" t="str">
        <f t="shared" si="4"/>
        <v/>
      </c>
    </row>
    <row r="72" spans="1:10" s="4" customFormat="1" x14ac:dyDescent="0.25">
      <c r="A72" s="4">
        <v>71</v>
      </c>
      <c r="B72" s="4" t="s">
        <v>40</v>
      </c>
      <c r="D72" s="4" t="s">
        <v>5</v>
      </c>
      <c r="H72" s="4" t="str">
        <f t="shared" si="3"/>
        <v>lup029</v>
      </c>
      <c r="I72" s="4">
        <v>1</v>
      </c>
      <c r="J72" s="4" t="str">
        <f t="shared" si="4"/>
        <v>lup029</v>
      </c>
    </row>
    <row r="73" spans="1:10" s="7" customFormat="1" x14ac:dyDescent="0.25">
      <c r="A73" s="7">
        <v>72</v>
      </c>
      <c r="D73" s="7" t="s">
        <v>5</v>
      </c>
      <c r="E73" s="7" t="s">
        <v>77</v>
      </c>
      <c r="H73" s="4"/>
      <c r="J73" s="4" t="str">
        <f t="shared" si="4"/>
        <v/>
      </c>
    </row>
    <row r="74" spans="1:10" s="7" customFormat="1" x14ac:dyDescent="0.25">
      <c r="A74" s="7">
        <v>73</v>
      </c>
      <c r="C74" s="8">
        <v>44995</v>
      </c>
      <c r="D74" s="7" t="s">
        <v>5</v>
      </c>
      <c r="E74" s="7" t="s">
        <v>77</v>
      </c>
      <c r="H74" s="4"/>
      <c r="J74" s="4" t="str">
        <f t="shared" si="4"/>
        <v/>
      </c>
    </row>
    <row r="75" spans="1:10" s="4" customFormat="1" x14ac:dyDescent="0.25">
      <c r="A75" s="4">
        <v>74</v>
      </c>
      <c r="B75" s="4" t="s">
        <v>41</v>
      </c>
      <c r="C75" s="5">
        <v>45000</v>
      </c>
      <c r="D75" s="4" t="s">
        <v>5</v>
      </c>
      <c r="H75" s="4" t="str">
        <f t="shared" si="3"/>
        <v>Lup030</v>
      </c>
      <c r="I75" s="4">
        <v>1</v>
      </c>
      <c r="J75" s="4" t="str">
        <f t="shared" si="4"/>
        <v>Lup030</v>
      </c>
    </row>
    <row r="76" spans="1:10" s="4" customFormat="1" x14ac:dyDescent="0.25">
      <c r="A76" s="4">
        <v>75</v>
      </c>
      <c r="B76" s="4" t="s">
        <v>42</v>
      </c>
      <c r="C76" s="5">
        <v>45009</v>
      </c>
      <c r="D76" s="4" t="s">
        <v>5</v>
      </c>
      <c r="H76" s="4" t="str">
        <f t="shared" si="3"/>
        <v>Lup031</v>
      </c>
      <c r="I76" s="4">
        <v>1</v>
      </c>
      <c r="J76" s="4" t="str">
        <f t="shared" si="4"/>
        <v>Lup031</v>
      </c>
    </row>
    <row r="77" spans="1:10" s="16" customFormat="1" x14ac:dyDescent="0.25">
      <c r="A77" s="16">
        <v>76</v>
      </c>
      <c r="D77" s="16" t="s">
        <v>5</v>
      </c>
      <c r="E77" s="20" t="s">
        <v>111</v>
      </c>
      <c r="H77" s="4"/>
      <c r="J77" s="4" t="str">
        <f t="shared" si="4"/>
        <v/>
      </c>
    </row>
    <row r="78" spans="1:10" s="7" customFormat="1" x14ac:dyDescent="0.25">
      <c r="A78" s="7">
        <v>77</v>
      </c>
      <c r="C78" s="8">
        <v>45033</v>
      </c>
      <c r="D78" s="7" t="s">
        <v>5</v>
      </c>
      <c r="E78" s="7" t="s">
        <v>77</v>
      </c>
      <c r="H78" s="4"/>
      <c r="J78" s="4" t="str">
        <f t="shared" si="4"/>
        <v/>
      </c>
    </row>
    <row r="79" spans="1:10" s="7" customFormat="1" x14ac:dyDescent="0.25">
      <c r="A79" s="7">
        <v>78</v>
      </c>
      <c r="C79" s="8">
        <v>45037</v>
      </c>
      <c r="D79" s="7" t="s">
        <v>5</v>
      </c>
      <c r="E79" s="7" t="s">
        <v>77</v>
      </c>
      <c r="H79" s="4"/>
      <c r="J79" s="4" t="str">
        <f t="shared" si="4"/>
        <v/>
      </c>
    </row>
    <row r="80" spans="1:10" s="4" customFormat="1" x14ac:dyDescent="0.25">
      <c r="A80" s="4">
        <v>79</v>
      </c>
      <c r="B80" s="4" t="s">
        <v>47</v>
      </c>
      <c r="C80" s="5">
        <v>45037</v>
      </c>
      <c r="D80" s="4" t="s">
        <v>5</v>
      </c>
      <c r="H80" s="4" t="str">
        <f t="shared" si="3"/>
        <v>Lup035</v>
      </c>
      <c r="I80" s="4">
        <v>1</v>
      </c>
      <c r="J80" s="4" t="str">
        <f t="shared" si="4"/>
        <v>Lup035</v>
      </c>
    </row>
    <row r="81" spans="1:10" s="7" customFormat="1" x14ac:dyDescent="0.25">
      <c r="A81" s="7">
        <v>80</v>
      </c>
      <c r="C81" s="8">
        <v>45037</v>
      </c>
      <c r="D81" s="7" t="s">
        <v>5</v>
      </c>
      <c r="E81" s="7" t="s">
        <v>108</v>
      </c>
      <c r="H81" s="4"/>
      <c r="J81" s="4" t="str">
        <f t="shared" si="4"/>
        <v/>
      </c>
    </row>
    <row r="82" spans="1:10" s="7" customFormat="1" x14ac:dyDescent="0.25">
      <c r="A82" s="7">
        <v>81</v>
      </c>
      <c r="C82" s="8">
        <v>45042</v>
      </c>
      <c r="D82" s="7" t="s">
        <v>5</v>
      </c>
      <c r="E82" s="7" t="s">
        <v>77</v>
      </c>
      <c r="H82" s="4"/>
      <c r="J82" s="4" t="str">
        <f t="shared" si="4"/>
        <v/>
      </c>
    </row>
    <row r="83" spans="1:10" s="16" customFormat="1" x14ac:dyDescent="0.25">
      <c r="A83" s="16">
        <v>82</v>
      </c>
      <c r="C83" s="18">
        <v>45042</v>
      </c>
      <c r="D83" s="16" t="s">
        <v>5</v>
      </c>
      <c r="E83" s="16" t="s">
        <v>111</v>
      </c>
      <c r="H83" s="4"/>
      <c r="J83" s="4" t="str">
        <f t="shared" si="4"/>
        <v/>
      </c>
    </row>
    <row r="84" spans="1:10" s="7" customFormat="1" x14ac:dyDescent="0.25">
      <c r="A84" s="7">
        <v>83</v>
      </c>
      <c r="C84" s="8"/>
      <c r="D84" s="7" t="s">
        <v>5</v>
      </c>
      <c r="E84" s="22" t="s">
        <v>77</v>
      </c>
      <c r="H84" s="4"/>
      <c r="J84" s="4" t="str">
        <f t="shared" si="4"/>
        <v/>
      </c>
    </row>
    <row r="85" spans="1:10" s="16" customFormat="1" x14ac:dyDescent="0.25">
      <c r="A85" s="16">
        <v>84</v>
      </c>
      <c r="C85" s="18">
        <v>45050</v>
      </c>
      <c r="D85" s="16" t="s">
        <v>5</v>
      </c>
      <c r="E85" s="16" t="s">
        <v>111</v>
      </c>
      <c r="H85" s="4"/>
      <c r="J85" s="4" t="str">
        <f t="shared" si="4"/>
        <v/>
      </c>
    </row>
    <row r="86" spans="1:10" s="7" customFormat="1" x14ac:dyDescent="0.25">
      <c r="A86" s="7">
        <v>85</v>
      </c>
      <c r="D86" s="7" t="s">
        <v>5</v>
      </c>
      <c r="E86" s="7" t="s">
        <v>82</v>
      </c>
      <c r="F86" s="7" t="s">
        <v>91</v>
      </c>
      <c r="H86" s="4"/>
      <c r="J86" s="4" t="str">
        <f t="shared" si="4"/>
        <v/>
      </c>
    </row>
    <row r="87" spans="1:10" s="7" customFormat="1" x14ac:dyDescent="0.25">
      <c r="A87" s="7">
        <v>86</v>
      </c>
      <c r="D87" s="7" t="s">
        <v>5</v>
      </c>
      <c r="E87" s="7" t="s">
        <v>83</v>
      </c>
      <c r="F87" s="7" t="s">
        <v>92</v>
      </c>
      <c r="H87" s="4"/>
      <c r="J87" s="4" t="str">
        <f t="shared" si="4"/>
        <v/>
      </c>
    </row>
    <row r="88" spans="1:10" s="16" customFormat="1" x14ac:dyDescent="0.25">
      <c r="A88" s="16">
        <v>87</v>
      </c>
      <c r="C88" s="18">
        <v>45061</v>
      </c>
      <c r="D88" s="16" t="s">
        <v>5</v>
      </c>
      <c r="E88" s="16" t="s">
        <v>111</v>
      </c>
      <c r="H88" s="4"/>
      <c r="J88" s="4" t="str">
        <f t="shared" si="4"/>
        <v/>
      </c>
    </row>
    <row r="89" spans="1:10" s="16" customFormat="1" x14ac:dyDescent="0.25">
      <c r="A89" s="16">
        <v>88</v>
      </c>
      <c r="C89" s="18">
        <v>45061</v>
      </c>
      <c r="D89" s="16" t="s">
        <v>5</v>
      </c>
      <c r="E89" s="16" t="s">
        <v>111</v>
      </c>
      <c r="H89" s="4"/>
      <c r="J89" s="4" t="str">
        <f t="shared" si="4"/>
        <v/>
      </c>
    </row>
    <row r="90" spans="1:10" s="7" customFormat="1" x14ac:dyDescent="0.25">
      <c r="A90" s="7">
        <v>89</v>
      </c>
      <c r="E90" s="7" t="s">
        <v>77</v>
      </c>
      <c r="H90" s="4"/>
      <c r="J90" s="4" t="str">
        <f t="shared" si="4"/>
        <v/>
      </c>
    </row>
    <row r="91" spans="1:10" s="16" customFormat="1" x14ac:dyDescent="0.25">
      <c r="A91" s="16">
        <v>90</v>
      </c>
      <c r="C91" s="18">
        <v>45061</v>
      </c>
      <c r="D91" s="16" t="s">
        <v>5</v>
      </c>
      <c r="E91" s="16" t="s">
        <v>111</v>
      </c>
      <c r="H91" s="4"/>
      <c r="J91" s="4" t="str">
        <f t="shared" si="4"/>
        <v/>
      </c>
    </row>
    <row r="92" spans="1:10" s="7" customFormat="1" x14ac:dyDescent="0.25">
      <c r="A92" s="7">
        <v>91</v>
      </c>
      <c r="C92" s="8">
        <v>45061</v>
      </c>
      <c r="E92" s="7" t="s">
        <v>82</v>
      </c>
      <c r="F92" s="7" t="s">
        <v>93</v>
      </c>
      <c r="H92" s="4"/>
      <c r="J92" s="4" t="str">
        <f t="shared" si="4"/>
        <v/>
      </c>
    </row>
    <row r="93" spans="1:10" s="4" customFormat="1" x14ac:dyDescent="0.25">
      <c r="A93" s="4">
        <v>92</v>
      </c>
      <c r="B93" s="4" t="s">
        <v>44</v>
      </c>
      <c r="C93" s="5">
        <v>45082</v>
      </c>
      <c r="D93" s="4" t="s">
        <v>5</v>
      </c>
      <c r="H93" s="4" t="str">
        <f t="shared" si="3"/>
        <v>Lup032</v>
      </c>
      <c r="I93" s="4">
        <v>1</v>
      </c>
      <c r="J93" s="4" t="str">
        <f t="shared" si="4"/>
        <v>Lup032</v>
      </c>
    </row>
    <row r="94" spans="1:10" s="7" customFormat="1" x14ac:dyDescent="0.25">
      <c r="A94" s="7">
        <v>93</v>
      </c>
      <c r="B94" s="21"/>
      <c r="E94" s="22" t="s">
        <v>77</v>
      </c>
      <c r="H94" s="4"/>
      <c r="J94" s="4" t="str">
        <f t="shared" si="4"/>
        <v/>
      </c>
    </row>
    <row r="95" spans="1:10" s="7" customFormat="1" x14ac:dyDescent="0.25">
      <c r="A95" s="7">
        <v>94</v>
      </c>
      <c r="C95" s="8">
        <v>45085</v>
      </c>
      <c r="E95" s="7" t="s">
        <v>78</v>
      </c>
      <c r="H95" s="4"/>
      <c r="J95" s="4" t="str">
        <f t="shared" si="4"/>
        <v/>
      </c>
    </row>
    <row r="96" spans="1:10" s="7" customFormat="1" x14ac:dyDescent="0.25">
      <c r="A96" s="7">
        <v>95</v>
      </c>
      <c r="C96" s="8"/>
      <c r="D96" s="7" t="s">
        <v>5</v>
      </c>
      <c r="E96" s="22" t="s">
        <v>77</v>
      </c>
      <c r="H96" s="4"/>
      <c r="J96" s="4" t="str">
        <f t="shared" si="4"/>
        <v/>
      </c>
    </row>
    <row r="97" spans="1:10" s="7" customFormat="1" x14ac:dyDescent="0.25">
      <c r="A97" s="7">
        <v>96</v>
      </c>
      <c r="C97" s="8"/>
      <c r="D97" s="7" t="s">
        <v>5</v>
      </c>
      <c r="E97" s="22" t="s">
        <v>77</v>
      </c>
      <c r="H97" s="4"/>
      <c r="J97" s="4" t="str">
        <f t="shared" si="4"/>
        <v/>
      </c>
    </row>
    <row r="98" spans="1:10" s="7" customFormat="1" x14ac:dyDescent="0.25">
      <c r="A98" s="7">
        <v>97</v>
      </c>
      <c r="C98" s="8"/>
      <c r="D98" s="7" t="s">
        <v>5</v>
      </c>
      <c r="E98" s="22" t="s">
        <v>77</v>
      </c>
      <c r="H98" s="4"/>
      <c r="J98" s="4" t="str">
        <f t="shared" si="4"/>
        <v/>
      </c>
    </row>
    <row r="99" spans="1:10" s="7" customFormat="1" x14ac:dyDescent="0.25">
      <c r="A99" s="7">
        <v>99</v>
      </c>
      <c r="C99" s="8"/>
      <c r="D99" s="7" t="s">
        <v>5</v>
      </c>
      <c r="E99" s="22" t="s">
        <v>77</v>
      </c>
      <c r="H99" s="4"/>
      <c r="J99" s="4" t="str">
        <f t="shared" si="4"/>
        <v/>
      </c>
    </row>
    <row r="100" spans="1:10" s="7" customFormat="1" x14ac:dyDescent="0.25">
      <c r="A100" s="7">
        <v>100</v>
      </c>
      <c r="C100" s="8"/>
      <c r="D100" s="7" t="s">
        <v>5</v>
      </c>
      <c r="E100" s="22" t="s">
        <v>77</v>
      </c>
      <c r="H100" s="4"/>
      <c r="J100" s="4" t="str">
        <f t="shared" si="4"/>
        <v/>
      </c>
    </row>
    <row r="101" spans="1:10" s="7" customFormat="1" x14ac:dyDescent="0.25">
      <c r="A101" s="7">
        <v>101</v>
      </c>
      <c r="C101" s="8"/>
      <c r="D101" s="7" t="s">
        <v>5</v>
      </c>
      <c r="E101" s="22" t="s">
        <v>77</v>
      </c>
      <c r="H101" s="4"/>
      <c r="J101" s="4" t="str">
        <f t="shared" si="4"/>
        <v/>
      </c>
    </row>
    <row r="102" spans="1:10" s="7" customFormat="1" x14ac:dyDescent="0.25">
      <c r="A102" s="7">
        <v>102</v>
      </c>
      <c r="C102" s="8"/>
      <c r="D102" s="7" t="s">
        <v>5</v>
      </c>
      <c r="E102" s="22" t="s">
        <v>77</v>
      </c>
      <c r="H102" s="4"/>
      <c r="J102" s="4" t="str">
        <f t="shared" si="4"/>
        <v/>
      </c>
    </row>
    <row r="103" spans="1:10" s="7" customFormat="1" x14ac:dyDescent="0.25">
      <c r="A103" s="7">
        <v>103</v>
      </c>
      <c r="C103" s="8"/>
      <c r="D103" s="7" t="s">
        <v>5</v>
      </c>
      <c r="E103" s="22" t="s">
        <v>77</v>
      </c>
      <c r="H103" s="4"/>
      <c r="J103" s="4" t="str">
        <f t="shared" si="4"/>
        <v/>
      </c>
    </row>
    <row r="104" spans="1:10" s="7" customFormat="1" x14ac:dyDescent="0.25">
      <c r="A104" s="7">
        <v>104</v>
      </c>
      <c r="C104" s="8">
        <v>45085</v>
      </c>
      <c r="E104" s="7" t="s">
        <v>78</v>
      </c>
      <c r="H104" s="4"/>
      <c r="J104" s="4" t="str">
        <f t="shared" si="4"/>
        <v/>
      </c>
    </row>
    <row r="105" spans="1:10" s="4" customFormat="1" x14ac:dyDescent="0.25">
      <c r="A105" s="4">
        <v>105</v>
      </c>
      <c r="B105" s="4" t="s">
        <v>45</v>
      </c>
      <c r="C105" s="5">
        <v>45089</v>
      </c>
      <c r="D105" s="4" t="s">
        <v>5</v>
      </c>
      <c r="H105" s="4" t="str">
        <f t="shared" si="3"/>
        <v>Lup033</v>
      </c>
      <c r="I105" s="4">
        <v>1</v>
      </c>
      <c r="J105" s="4" t="str">
        <f t="shared" si="4"/>
        <v>Lup033</v>
      </c>
    </row>
    <row r="106" spans="1:10" s="7" customFormat="1" x14ac:dyDescent="0.25">
      <c r="A106" s="7">
        <v>106</v>
      </c>
      <c r="C106" s="7" t="s">
        <v>65</v>
      </c>
      <c r="D106" s="7" t="s">
        <v>5</v>
      </c>
      <c r="E106" s="22" t="s">
        <v>77</v>
      </c>
      <c r="H106" s="4"/>
      <c r="J106" s="4" t="str">
        <f t="shared" si="4"/>
        <v/>
      </c>
    </row>
    <row r="107" spans="1:10" s="4" customFormat="1" x14ac:dyDescent="0.25">
      <c r="A107" s="4">
        <v>107</v>
      </c>
      <c r="B107" s="4" t="s">
        <v>46</v>
      </c>
      <c r="C107" s="6"/>
      <c r="D107" s="4" t="s">
        <v>5</v>
      </c>
      <c r="H107" s="4" t="str">
        <f t="shared" si="3"/>
        <v>Lup034</v>
      </c>
      <c r="I107" s="4">
        <v>1</v>
      </c>
      <c r="J107" s="4" t="str">
        <f t="shared" si="4"/>
        <v>Lup034</v>
      </c>
    </row>
    <row r="108" spans="1:10" s="7" customFormat="1" x14ac:dyDescent="0.25">
      <c r="A108" s="7">
        <v>108</v>
      </c>
      <c r="C108" s="28">
        <v>45148</v>
      </c>
      <c r="D108" s="7" t="s">
        <v>5</v>
      </c>
      <c r="E108" s="7" t="s">
        <v>84</v>
      </c>
      <c r="H108" s="4"/>
      <c r="J108" s="4" t="str">
        <f t="shared" si="4"/>
        <v/>
      </c>
    </row>
    <row r="109" spans="1:10" s="4" customFormat="1" x14ac:dyDescent="0.25">
      <c r="A109" s="4">
        <v>109</v>
      </c>
      <c r="B109" s="4" t="s">
        <v>48</v>
      </c>
      <c r="C109" s="26">
        <v>45153</v>
      </c>
      <c r="D109" s="4" t="s">
        <v>5</v>
      </c>
      <c r="H109" s="4" t="str">
        <f t="shared" si="3"/>
        <v>Lup036</v>
      </c>
      <c r="I109" s="4">
        <v>1</v>
      </c>
      <c r="J109" s="4" t="str">
        <f t="shared" si="4"/>
        <v>Lup036</v>
      </c>
    </row>
    <row r="110" spans="1:10" s="7" customFormat="1" x14ac:dyDescent="0.25">
      <c r="A110" s="7">
        <v>110</v>
      </c>
      <c r="C110" s="28">
        <v>45153</v>
      </c>
      <c r="D110" s="7" t="s">
        <v>5</v>
      </c>
      <c r="E110" s="22" t="s">
        <v>77</v>
      </c>
      <c r="H110" s="4"/>
      <c r="J110" s="4" t="str">
        <f t="shared" si="4"/>
        <v/>
      </c>
    </row>
    <row r="111" spans="1:10" s="4" customFormat="1" x14ac:dyDescent="0.25">
      <c r="A111" s="4">
        <v>111</v>
      </c>
      <c r="B111" s="4" t="s">
        <v>51</v>
      </c>
      <c r="C111" s="26">
        <v>45168</v>
      </c>
      <c r="D111" s="4" t="s">
        <v>5</v>
      </c>
      <c r="H111" s="4" t="str">
        <f t="shared" si="3"/>
        <v>Lup039</v>
      </c>
      <c r="I111" s="4">
        <v>1</v>
      </c>
      <c r="J111" s="4" t="str">
        <f t="shared" si="4"/>
        <v>Lup039</v>
      </c>
    </row>
    <row r="112" spans="1:10" s="7" customFormat="1" x14ac:dyDescent="0.25">
      <c r="A112" s="7">
        <v>112</v>
      </c>
      <c r="C112" s="25"/>
      <c r="E112" s="7" t="s">
        <v>111</v>
      </c>
      <c r="H112" s="4"/>
      <c r="J112" s="4" t="str">
        <f t="shared" si="4"/>
        <v/>
      </c>
    </row>
    <row r="113" spans="1:11" s="16" customFormat="1" x14ac:dyDescent="0.25">
      <c r="A113" s="16">
        <v>113</v>
      </c>
      <c r="C113" s="27">
        <v>45169</v>
      </c>
      <c r="D113" s="16" t="s">
        <v>5</v>
      </c>
      <c r="E113" s="16" t="s">
        <v>111</v>
      </c>
      <c r="H113" s="4"/>
      <c r="J113" s="4" t="str">
        <f t="shared" si="4"/>
        <v/>
      </c>
    </row>
    <row r="114" spans="1:11" s="16" customFormat="1" x14ac:dyDescent="0.25">
      <c r="A114" s="16">
        <v>114</v>
      </c>
      <c r="C114" s="27">
        <v>45169</v>
      </c>
      <c r="D114" s="16" t="s">
        <v>5</v>
      </c>
      <c r="E114" s="16" t="s">
        <v>111</v>
      </c>
      <c r="H114" s="4"/>
      <c r="J114" s="4" t="str">
        <f t="shared" si="4"/>
        <v/>
      </c>
    </row>
    <row r="115" spans="1:11" s="4" customFormat="1" x14ac:dyDescent="0.25">
      <c r="A115" s="4">
        <v>115</v>
      </c>
      <c r="B115" s="4" t="s">
        <v>49</v>
      </c>
      <c r="C115" s="26">
        <v>45169</v>
      </c>
      <c r="D115" s="4" t="s">
        <v>5</v>
      </c>
      <c r="H115" s="4" t="str">
        <f t="shared" si="3"/>
        <v>Lup037</v>
      </c>
      <c r="I115" s="4">
        <v>1</v>
      </c>
      <c r="J115" s="4" t="str">
        <f t="shared" si="4"/>
        <v>Lup037</v>
      </c>
    </row>
    <row r="116" spans="1:11" s="4" customFormat="1" x14ac:dyDescent="0.25">
      <c r="A116" s="4">
        <v>116</v>
      </c>
      <c r="B116" s="4" t="s">
        <v>50</v>
      </c>
      <c r="C116" s="26">
        <v>45174</v>
      </c>
      <c r="D116" s="4" t="s">
        <v>5</v>
      </c>
      <c r="H116" s="4" t="str">
        <f t="shared" si="3"/>
        <v>Lup038</v>
      </c>
      <c r="I116" s="4">
        <v>1</v>
      </c>
      <c r="J116" s="4" t="str">
        <f t="shared" si="4"/>
        <v>Lup038</v>
      </c>
    </row>
    <row r="117" spans="1:11" s="7" customFormat="1" x14ac:dyDescent="0.25">
      <c r="A117" s="7">
        <v>117</v>
      </c>
      <c r="C117" s="28">
        <v>45181</v>
      </c>
      <c r="D117" s="7" t="s">
        <v>52</v>
      </c>
      <c r="E117" s="7" t="s">
        <v>84</v>
      </c>
      <c r="H117" s="4"/>
      <c r="J117" s="4" t="str">
        <f t="shared" si="4"/>
        <v/>
      </c>
    </row>
    <row r="118" spans="1:11" s="7" customFormat="1" x14ac:dyDescent="0.25">
      <c r="A118" s="7">
        <v>118</v>
      </c>
      <c r="C118" s="8"/>
      <c r="D118" s="7" t="s">
        <v>52</v>
      </c>
      <c r="E118" s="7" t="s">
        <v>108</v>
      </c>
      <c r="H118" s="4"/>
      <c r="J118" s="4" t="str">
        <f t="shared" si="4"/>
        <v/>
      </c>
    </row>
    <row r="119" spans="1:11" s="7" customFormat="1" x14ac:dyDescent="0.25">
      <c r="A119" s="7">
        <v>120</v>
      </c>
      <c r="C119" s="8">
        <v>45184</v>
      </c>
      <c r="D119" s="7" t="s">
        <v>52</v>
      </c>
      <c r="E119" s="7" t="s">
        <v>82</v>
      </c>
      <c r="F119" s="7" t="s">
        <v>88</v>
      </c>
      <c r="H119" s="4"/>
      <c r="J119" s="4" t="str">
        <f t="shared" si="4"/>
        <v/>
      </c>
    </row>
    <row r="120" spans="1:11" s="4" customFormat="1" x14ac:dyDescent="0.25">
      <c r="A120" s="4">
        <v>121</v>
      </c>
      <c r="B120" s="4" t="s">
        <v>54</v>
      </c>
      <c r="C120" s="5">
        <v>45184</v>
      </c>
      <c r="D120" s="4" t="s">
        <v>5</v>
      </c>
      <c r="H120" s="4" t="str">
        <f t="shared" si="3"/>
        <v>Lup041</v>
      </c>
      <c r="I120" s="4">
        <v>0</v>
      </c>
      <c r="J120" s="4" t="str">
        <f t="shared" si="4"/>
        <v/>
      </c>
      <c r="K120" s="4" t="s">
        <v>103</v>
      </c>
    </row>
    <row r="121" spans="1:11" s="7" customFormat="1" x14ac:dyDescent="0.25">
      <c r="A121" s="7">
        <v>122</v>
      </c>
      <c r="C121" s="8">
        <v>45268</v>
      </c>
      <c r="D121" s="7" t="s">
        <v>52</v>
      </c>
      <c r="E121" s="7" t="s">
        <v>77</v>
      </c>
      <c r="H121" s="4"/>
      <c r="J121" s="4" t="str">
        <f t="shared" si="4"/>
        <v/>
      </c>
    </row>
    <row r="122" spans="1:11" s="7" customFormat="1" x14ac:dyDescent="0.25">
      <c r="A122" s="7">
        <v>123</v>
      </c>
      <c r="C122" s="8"/>
      <c r="D122" s="7" t="s">
        <v>52</v>
      </c>
      <c r="E122" s="7" t="s">
        <v>77</v>
      </c>
      <c r="H122" s="4"/>
      <c r="J122" s="4" t="str">
        <f t="shared" si="4"/>
        <v/>
      </c>
    </row>
    <row r="123" spans="1:11" s="7" customFormat="1" x14ac:dyDescent="0.25">
      <c r="A123" s="7">
        <v>124</v>
      </c>
      <c r="C123" s="8"/>
      <c r="D123" s="7" t="s">
        <v>52</v>
      </c>
      <c r="E123" s="7" t="s">
        <v>77</v>
      </c>
      <c r="H123" s="4"/>
      <c r="J123" s="4" t="str">
        <f t="shared" si="4"/>
        <v/>
      </c>
    </row>
    <row r="124" spans="1:11" s="7" customFormat="1" x14ac:dyDescent="0.25">
      <c r="A124" s="7">
        <v>125</v>
      </c>
      <c r="C124" s="8"/>
      <c r="D124" s="7" t="s">
        <v>52</v>
      </c>
      <c r="E124" s="7" t="s">
        <v>77</v>
      </c>
      <c r="H124" s="4"/>
      <c r="J124" s="4" t="str">
        <f t="shared" si="4"/>
        <v/>
      </c>
    </row>
    <row r="125" spans="1:11" s="7" customFormat="1" x14ac:dyDescent="0.25">
      <c r="A125" s="7">
        <v>126</v>
      </c>
      <c r="C125" s="8">
        <v>45268</v>
      </c>
      <c r="D125" s="7" t="s">
        <v>52</v>
      </c>
      <c r="E125" s="7" t="s">
        <v>77</v>
      </c>
      <c r="H125" s="4"/>
      <c r="J125" s="4" t="str">
        <f t="shared" si="4"/>
        <v/>
      </c>
    </row>
    <row r="126" spans="1:11" s="7" customFormat="1" x14ac:dyDescent="0.25">
      <c r="A126" s="7">
        <v>127</v>
      </c>
      <c r="C126" s="8">
        <v>45268</v>
      </c>
      <c r="D126" s="7" t="s">
        <v>52</v>
      </c>
      <c r="E126" s="7" t="s">
        <v>77</v>
      </c>
      <c r="H126" s="4"/>
      <c r="J126" s="4" t="str">
        <f t="shared" si="4"/>
        <v/>
      </c>
    </row>
    <row r="127" spans="1:11" s="7" customFormat="1" x14ac:dyDescent="0.25">
      <c r="A127" s="7">
        <v>128</v>
      </c>
      <c r="C127" s="8">
        <v>45268</v>
      </c>
      <c r="D127" s="7" t="s">
        <v>52</v>
      </c>
      <c r="E127" s="7" t="s">
        <v>106</v>
      </c>
      <c r="H127" s="4"/>
      <c r="J127" s="4" t="str">
        <f t="shared" si="4"/>
        <v/>
      </c>
    </row>
    <row r="128" spans="1:11" s="7" customFormat="1" x14ac:dyDescent="0.25">
      <c r="A128" s="7">
        <v>129</v>
      </c>
      <c r="C128" s="8"/>
      <c r="D128" s="7" t="s">
        <v>52</v>
      </c>
      <c r="E128" s="7" t="s">
        <v>82</v>
      </c>
      <c r="H128" s="4"/>
      <c r="J128" s="4" t="str">
        <f t="shared" si="4"/>
        <v/>
      </c>
    </row>
    <row r="129" spans="1:10" s="7" customFormat="1" x14ac:dyDescent="0.25">
      <c r="A129" s="7">
        <v>130</v>
      </c>
      <c r="C129" s="8"/>
      <c r="D129" s="7" t="s">
        <v>52</v>
      </c>
      <c r="E129" s="7" t="s">
        <v>77</v>
      </c>
      <c r="H129" s="4"/>
      <c r="J129" s="4" t="str">
        <f t="shared" si="4"/>
        <v/>
      </c>
    </row>
    <row r="130" spans="1:10" s="4" customFormat="1" x14ac:dyDescent="0.25">
      <c r="A130" s="4">
        <v>131</v>
      </c>
      <c r="B130" s="4" t="s">
        <v>55</v>
      </c>
      <c r="C130" s="5">
        <v>45194</v>
      </c>
      <c r="D130" s="4" t="s">
        <v>52</v>
      </c>
      <c r="H130" s="4" t="str">
        <f t="shared" si="3"/>
        <v>Lup042</v>
      </c>
      <c r="I130" s="4">
        <v>1</v>
      </c>
      <c r="J130" s="4" t="str">
        <f t="shared" si="4"/>
        <v>Lup042</v>
      </c>
    </row>
    <row r="131" spans="1:10" s="16" customFormat="1" x14ac:dyDescent="0.25">
      <c r="A131" s="16">
        <v>132</v>
      </c>
      <c r="C131" s="18"/>
      <c r="D131" s="16" t="s">
        <v>52</v>
      </c>
      <c r="E131" s="16" t="s">
        <v>111</v>
      </c>
      <c r="H131" s="4"/>
      <c r="J131" s="4" t="str">
        <f t="shared" si="4"/>
        <v/>
      </c>
    </row>
    <row r="132" spans="1:10" s="7" customFormat="1" x14ac:dyDescent="0.25">
      <c r="A132" s="7">
        <v>134</v>
      </c>
      <c r="C132" s="8"/>
      <c r="D132" s="7" t="s">
        <v>52</v>
      </c>
      <c r="E132" s="7" t="s">
        <v>106</v>
      </c>
      <c r="H132" s="4"/>
      <c r="J132" s="4" t="str">
        <f t="shared" ref="J132:J185" si="5">IF(I132=1,B132,"")</f>
        <v/>
      </c>
    </row>
    <row r="133" spans="1:10" s="7" customFormat="1" x14ac:dyDescent="0.25">
      <c r="A133" s="7">
        <v>137</v>
      </c>
      <c r="C133" s="8">
        <v>45190</v>
      </c>
      <c r="D133" s="7" t="s">
        <v>5</v>
      </c>
      <c r="E133" s="7" t="s">
        <v>77</v>
      </c>
      <c r="H133" s="4"/>
      <c r="J133" s="4" t="str">
        <f t="shared" si="5"/>
        <v/>
      </c>
    </row>
    <row r="134" spans="1:10" s="4" customFormat="1" x14ac:dyDescent="0.25">
      <c r="A134" s="4">
        <v>138</v>
      </c>
      <c r="B134" s="4" t="s">
        <v>61</v>
      </c>
      <c r="C134" s="5">
        <v>45184</v>
      </c>
      <c r="D134" s="4" t="s">
        <v>5</v>
      </c>
      <c r="H134" s="4" t="str">
        <f t="shared" ref="H134:H185" si="6">B134</f>
        <v>Lup047</v>
      </c>
      <c r="I134" s="4">
        <v>1</v>
      </c>
      <c r="J134" s="4" t="str">
        <f t="shared" si="5"/>
        <v>Lup047</v>
      </c>
    </row>
    <row r="135" spans="1:10" s="4" customFormat="1" x14ac:dyDescent="0.25">
      <c r="A135" s="4">
        <v>139</v>
      </c>
      <c r="B135" s="4" t="s">
        <v>53</v>
      </c>
      <c r="C135" s="5">
        <v>45184</v>
      </c>
      <c r="D135" s="4" t="s">
        <v>5</v>
      </c>
      <c r="H135" s="4" t="str">
        <f t="shared" si="6"/>
        <v>Lup040</v>
      </c>
      <c r="I135" s="4">
        <v>1</v>
      </c>
      <c r="J135" s="4" t="str">
        <f t="shared" si="5"/>
        <v>Lup040</v>
      </c>
    </row>
    <row r="136" spans="1:10" s="4" customFormat="1" x14ac:dyDescent="0.25">
      <c r="A136" s="4">
        <v>140</v>
      </c>
      <c r="B136" s="4" t="s">
        <v>66</v>
      </c>
      <c r="C136" s="5">
        <v>45187</v>
      </c>
      <c r="D136" s="4" t="s">
        <v>5</v>
      </c>
      <c r="H136" s="4" t="str">
        <f t="shared" si="6"/>
        <v>Lup051</v>
      </c>
      <c r="I136" s="4">
        <v>1</v>
      </c>
      <c r="J136" s="4" t="str">
        <f t="shared" si="5"/>
        <v>Lup051</v>
      </c>
    </row>
    <row r="137" spans="1:10" s="7" customFormat="1" x14ac:dyDescent="0.25">
      <c r="A137" s="7">
        <v>141</v>
      </c>
      <c r="C137" s="8"/>
      <c r="D137" s="7" t="s">
        <v>5</v>
      </c>
      <c r="E137" s="7" t="s">
        <v>108</v>
      </c>
      <c r="H137" s="4"/>
      <c r="J137" s="4" t="str">
        <f t="shared" si="5"/>
        <v/>
      </c>
    </row>
    <row r="138" spans="1:10" s="4" customFormat="1" x14ac:dyDescent="0.25">
      <c r="A138" s="4">
        <v>142</v>
      </c>
      <c r="B138" s="4" t="s">
        <v>58</v>
      </c>
      <c r="D138" s="4" t="s">
        <v>5</v>
      </c>
      <c r="H138" s="4" t="str">
        <f t="shared" si="6"/>
        <v>LUP044</v>
      </c>
      <c r="I138" s="4">
        <v>1</v>
      </c>
      <c r="J138" s="4" t="str">
        <f t="shared" si="5"/>
        <v>LUP044</v>
      </c>
    </row>
    <row r="139" spans="1:10" s="7" customFormat="1" x14ac:dyDescent="0.25">
      <c r="A139" s="7">
        <v>143</v>
      </c>
      <c r="D139" s="7" t="s">
        <v>5</v>
      </c>
      <c r="E139" s="7" t="s">
        <v>108</v>
      </c>
      <c r="H139" s="4"/>
      <c r="J139" s="4" t="str">
        <f t="shared" si="5"/>
        <v/>
      </c>
    </row>
    <row r="140" spans="1:10" s="4" customFormat="1" x14ac:dyDescent="0.25">
      <c r="A140" s="4">
        <v>144</v>
      </c>
      <c r="B140" s="4" t="s">
        <v>56</v>
      </c>
      <c r="D140" s="4" t="s">
        <v>5</v>
      </c>
      <c r="H140" s="4" t="str">
        <f t="shared" si="6"/>
        <v>Lup043</v>
      </c>
      <c r="I140" s="4">
        <v>1</v>
      </c>
      <c r="J140" s="4" t="str">
        <f t="shared" si="5"/>
        <v>Lup043</v>
      </c>
    </row>
    <row r="141" spans="1:10" s="4" customFormat="1" x14ac:dyDescent="0.25">
      <c r="A141" s="4">
        <v>145</v>
      </c>
      <c r="B141" s="4" t="s">
        <v>59</v>
      </c>
      <c r="D141" s="4" t="s">
        <v>52</v>
      </c>
      <c r="H141" s="4" t="str">
        <f t="shared" si="6"/>
        <v>LUP045</v>
      </c>
      <c r="I141" s="4">
        <v>1</v>
      </c>
      <c r="J141" s="4" t="str">
        <f t="shared" si="5"/>
        <v>LUP045</v>
      </c>
    </row>
    <row r="142" spans="1:10" s="16" customFormat="1" x14ac:dyDescent="0.25">
      <c r="A142" s="16">
        <v>146</v>
      </c>
      <c r="C142" s="18">
        <v>45216</v>
      </c>
      <c r="D142" s="16" t="s">
        <v>5</v>
      </c>
      <c r="E142" s="16" t="s">
        <v>111</v>
      </c>
      <c r="H142" s="4"/>
      <c r="J142" s="4" t="str">
        <f t="shared" si="5"/>
        <v/>
      </c>
    </row>
    <row r="143" spans="1:10" s="7" customFormat="1" x14ac:dyDescent="0.25">
      <c r="A143" s="7">
        <v>147</v>
      </c>
      <c r="C143" s="8">
        <v>45225</v>
      </c>
      <c r="D143" s="7" t="s">
        <v>5</v>
      </c>
      <c r="E143" s="7" t="s">
        <v>108</v>
      </c>
      <c r="H143" s="4"/>
      <c r="J143" s="4" t="str">
        <f t="shared" si="5"/>
        <v/>
      </c>
    </row>
    <row r="144" spans="1:10" s="4" customFormat="1" x14ac:dyDescent="0.25">
      <c r="A144" s="4">
        <v>148</v>
      </c>
      <c r="B144" s="4" t="s">
        <v>60</v>
      </c>
      <c r="D144" s="4" t="s">
        <v>5</v>
      </c>
      <c r="H144" s="4" t="str">
        <f t="shared" si="6"/>
        <v>Lup046</v>
      </c>
      <c r="I144" s="4">
        <v>1</v>
      </c>
      <c r="J144" s="4" t="str">
        <f t="shared" si="5"/>
        <v>Lup046</v>
      </c>
    </row>
    <row r="145" spans="1:10" s="7" customFormat="1" x14ac:dyDescent="0.25">
      <c r="A145" s="7">
        <v>149</v>
      </c>
      <c r="D145" s="7" t="s">
        <v>5</v>
      </c>
      <c r="E145" s="7" t="s">
        <v>108</v>
      </c>
      <c r="H145" s="4"/>
      <c r="J145" s="4" t="str">
        <f t="shared" si="5"/>
        <v/>
      </c>
    </row>
    <row r="146" spans="1:10" s="4" customFormat="1" x14ac:dyDescent="0.25">
      <c r="A146" s="4">
        <v>150</v>
      </c>
      <c r="B146" s="4" t="s">
        <v>62</v>
      </c>
      <c r="D146" s="4" t="s">
        <v>5</v>
      </c>
      <c r="H146" s="4" t="str">
        <f t="shared" si="6"/>
        <v>lup048</v>
      </c>
      <c r="I146" s="4">
        <v>1</v>
      </c>
      <c r="J146" s="4" t="str">
        <f t="shared" si="5"/>
        <v>lup048</v>
      </c>
    </row>
    <row r="147" spans="1:10" s="7" customFormat="1" x14ac:dyDescent="0.25">
      <c r="A147" s="7">
        <v>151</v>
      </c>
      <c r="C147" s="8">
        <v>45233</v>
      </c>
      <c r="D147" s="7" t="s">
        <v>5</v>
      </c>
      <c r="E147" s="7" t="s">
        <v>82</v>
      </c>
      <c r="F147" s="7" t="s">
        <v>89</v>
      </c>
      <c r="H147" s="4"/>
      <c r="J147" s="4" t="str">
        <f t="shared" si="5"/>
        <v/>
      </c>
    </row>
    <row r="148" spans="1:10" s="7" customFormat="1" x14ac:dyDescent="0.25">
      <c r="A148" s="7">
        <v>152</v>
      </c>
      <c r="D148" s="7" t="s">
        <v>5</v>
      </c>
      <c r="E148" s="7" t="s">
        <v>108</v>
      </c>
      <c r="H148" s="4"/>
      <c r="J148" s="4" t="str">
        <f t="shared" si="5"/>
        <v/>
      </c>
    </row>
    <row r="149" spans="1:10" s="7" customFormat="1" x14ac:dyDescent="0.25">
      <c r="A149" s="7">
        <v>153</v>
      </c>
      <c r="D149" s="7" t="s">
        <v>5</v>
      </c>
      <c r="E149" s="7" t="s">
        <v>77</v>
      </c>
      <c r="H149" s="4"/>
      <c r="J149" s="4" t="str">
        <f t="shared" si="5"/>
        <v/>
      </c>
    </row>
    <row r="150" spans="1:10" s="4" customFormat="1" x14ac:dyDescent="0.25">
      <c r="A150" s="4">
        <v>154</v>
      </c>
      <c r="B150" s="4" t="s">
        <v>63</v>
      </c>
      <c r="C150" s="5">
        <v>45251</v>
      </c>
      <c r="D150" s="4" t="s">
        <v>5</v>
      </c>
      <c r="H150" s="4" t="str">
        <f t="shared" si="6"/>
        <v>lup049</v>
      </c>
      <c r="I150" s="4">
        <v>1</v>
      </c>
      <c r="J150" s="4" t="str">
        <f t="shared" si="5"/>
        <v>lup049</v>
      </c>
    </row>
    <row r="151" spans="1:10" s="4" customFormat="1" x14ac:dyDescent="0.25">
      <c r="A151" s="4">
        <v>155</v>
      </c>
      <c r="B151" s="4" t="s">
        <v>64</v>
      </c>
      <c r="C151" s="5">
        <v>45257</v>
      </c>
      <c r="D151" s="4" t="s">
        <v>5</v>
      </c>
      <c r="H151" s="4" t="str">
        <f t="shared" si="6"/>
        <v>Lup050</v>
      </c>
      <c r="I151" s="4">
        <v>1</v>
      </c>
      <c r="J151" s="4" t="str">
        <f t="shared" si="5"/>
        <v>Lup050</v>
      </c>
    </row>
    <row r="152" spans="1:10" s="7" customFormat="1" x14ac:dyDescent="0.25">
      <c r="A152" s="7">
        <v>156</v>
      </c>
      <c r="C152" s="8">
        <v>45260</v>
      </c>
      <c r="D152" s="7" t="s">
        <v>5</v>
      </c>
      <c r="E152" s="7" t="s">
        <v>82</v>
      </c>
      <c r="F152" s="7" t="s">
        <v>94</v>
      </c>
      <c r="H152" s="4"/>
      <c r="J152" s="4" t="str">
        <f t="shared" si="5"/>
        <v/>
      </c>
    </row>
    <row r="153" spans="1:10" s="7" customFormat="1" x14ac:dyDescent="0.25">
      <c r="A153" s="7">
        <v>157</v>
      </c>
      <c r="C153" s="8">
        <v>45260</v>
      </c>
      <c r="D153" s="7" t="s">
        <v>5</v>
      </c>
      <c r="E153" s="7" t="s">
        <v>108</v>
      </c>
      <c r="H153" s="4"/>
      <c r="J153" s="4" t="str">
        <f t="shared" si="5"/>
        <v/>
      </c>
    </row>
    <row r="154" spans="1:10" s="7" customFormat="1" x14ac:dyDescent="0.25">
      <c r="A154" s="7">
        <v>158</v>
      </c>
      <c r="C154" s="8">
        <v>45260</v>
      </c>
      <c r="D154" s="7" t="s">
        <v>5</v>
      </c>
      <c r="E154" s="7" t="s">
        <v>111</v>
      </c>
      <c r="H154" s="4"/>
      <c r="J154" s="4" t="str">
        <f t="shared" si="5"/>
        <v/>
      </c>
    </row>
    <row r="155" spans="1:10" s="7" customFormat="1" x14ac:dyDescent="0.25">
      <c r="A155" s="7">
        <v>159</v>
      </c>
      <c r="C155" s="8">
        <v>45260</v>
      </c>
      <c r="D155" s="7" t="s">
        <v>5</v>
      </c>
      <c r="E155" s="7" t="s">
        <v>77</v>
      </c>
      <c r="H155" s="4"/>
      <c r="J155" s="4" t="str">
        <f t="shared" si="5"/>
        <v/>
      </c>
    </row>
    <row r="156" spans="1:10" s="7" customFormat="1" x14ac:dyDescent="0.25">
      <c r="A156" s="7">
        <v>160</v>
      </c>
      <c r="D156" s="7" t="s">
        <v>5</v>
      </c>
      <c r="E156" s="7" t="s">
        <v>77</v>
      </c>
      <c r="H156" s="4"/>
      <c r="J156" s="4" t="str">
        <f t="shared" si="5"/>
        <v/>
      </c>
    </row>
    <row r="157" spans="1:10" s="7" customFormat="1" x14ac:dyDescent="0.25">
      <c r="A157" s="7">
        <v>161</v>
      </c>
      <c r="D157" s="7" t="s">
        <v>5</v>
      </c>
      <c r="E157" s="7" t="s">
        <v>77</v>
      </c>
      <c r="H157" s="4"/>
      <c r="J157" s="4" t="str">
        <f t="shared" si="5"/>
        <v/>
      </c>
    </row>
    <row r="158" spans="1:10" s="7" customFormat="1" x14ac:dyDescent="0.25">
      <c r="A158" s="7">
        <v>162</v>
      </c>
      <c r="D158" s="7" t="s">
        <v>5</v>
      </c>
      <c r="E158" s="7" t="s">
        <v>78</v>
      </c>
      <c r="H158" s="4"/>
      <c r="J158" s="4" t="str">
        <f t="shared" si="5"/>
        <v/>
      </c>
    </row>
    <row r="159" spans="1:10" s="7" customFormat="1" x14ac:dyDescent="0.25">
      <c r="A159" s="7">
        <v>163</v>
      </c>
      <c r="D159" s="7" t="s">
        <v>5</v>
      </c>
      <c r="E159" s="7" t="s">
        <v>77</v>
      </c>
      <c r="H159" s="4"/>
      <c r="J159" s="4" t="str">
        <f t="shared" si="5"/>
        <v/>
      </c>
    </row>
    <row r="160" spans="1:10" s="7" customFormat="1" x14ac:dyDescent="0.25">
      <c r="A160" s="7">
        <v>164</v>
      </c>
      <c r="C160" s="8">
        <v>45260</v>
      </c>
      <c r="D160" s="7" t="s">
        <v>5</v>
      </c>
      <c r="E160" s="7" t="s">
        <v>77</v>
      </c>
      <c r="H160" s="4"/>
      <c r="J160" s="4" t="str">
        <f t="shared" si="5"/>
        <v/>
      </c>
    </row>
    <row r="161" spans="1:11" s="7" customFormat="1" x14ac:dyDescent="0.25">
      <c r="A161" s="7">
        <v>165</v>
      </c>
      <c r="D161" s="7" t="s">
        <v>5</v>
      </c>
      <c r="E161" s="7" t="s">
        <v>77</v>
      </c>
      <c r="H161" s="4"/>
      <c r="J161" s="4" t="str">
        <f t="shared" si="5"/>
        <v/>
      </c>
    </row>
    <row r="162" spans="1:11" s="7" customFormat="1" x14ac:dyDescent="0.25">
      <c r="A162" s="7">
        <v>166</v>
      </c>
      <c r="D162" s="7" t="s">
        <v>5</v>
      </c>
      <c r="E162" s="7" t="s">
        <v>111</v>
      </c>
      <c r="H162" s="4"/>
      <c r="J162" s="4" t="str">
        <f t="shared" si="5"/>
        <v/>
      </c>
    </row>
    <row r="163" spans="1:11" s="4" customFormat="1" x14ac:dyDescent="0.25">
      <c r="A163" s="4">
        <v>167</v>
      </c>
      <c r="B163" s="4" t="s">
        <v>69</v>
      </c>
      <c r="C163" s="5">
        <v>45260</v>
      </c>
      <c r="D163" s="4" t="s">
        <v>5</v>
      </c>
      <c r="H163" s="4" t="str">
        <f t="shared" si="6"/>
        <v>LUP054</v>
      </c>
      <c r="I163" s="4">
        <v>1</v>
      </c>
      <c r="J163" s="4" t="str">
        <f t="shared" si="5"/>
        <v>LUP054</v>
      </c>
    </row>
    <row r="164" spans="1:11" s="7" customFormat="1" x14ac:dyDescent="0.25">
      <c r="A164" s="7">
        <v>168</v>
      </c>
      <c r="C164" s="8">
        <v>45260</v>
      </c>
      <c r="D164" s="7" t="s">
        <v>5</v>
      </c>
      <c r="E164" s="7" t="s">
        <v>77</v>
      </c>
      <c r="H164" s="4"/>
      <c r="J164" s="4" t="str">
        <f t="shared" si="5"/>
        <v/>
      </c>
    </row>
    <row r="165" spans="1:11" s="7" customFormat="1" x14ac:dyDescent="0.25">
      <c r="A165" s="7">
        <v>169</v>
      </c>
      <c r="C165" s="8">
        <v>45261</v>
      </c>
      <c r="D165" s="7" t="s">
        <v>5</v>
      </c>
      <c r="E165" s="7" t="s">
        <v>84</v>
      </c>
      <c r="H165" s="4"/>
      <c r="J165" s="4" t="str">
        <f t="shared" si="5"/>
        <v/>
      </c>
    </row>
    <row r="166" spans="1:11" s="7" customFormat="1" x14ac:dyDescent="0.25">
      <c r="A166" s="7">
        <v>170</v>
      </c>
      <c r="C166" s="8">
        <v>45261</v>
      </c>
      <c r="D166" s="7" t="s">
        <v>5</v>
      </c>
      <c r="E166" s="7" t="s">
        <v>85</v>
      </c>
      <c r="H166" s="4"/>
      <c r="J166" s="4" t="str">
        <f t="shared" si="5"/>
        <v/>
      </c>
    </row>
    <row r="167" spans="1:11" s="7" customFormat="1" x14ac:dyDescent="0.25">
      <c r="A167" s="7">
        <v>172</v>
      </c>
      <c r="C167" s="8">
        <v>45261</v>
      </c>
      <c r="D167" s="7" t="s">
        <v>5</v>
      </c>
      <c r="E167" s="7" t="s">
        <v>77</v>
      </c>
      <c r="H167" s="4"/>
      <c r="J167" s="4" t="str">
        <f t="shared" si="5"/>
        <v/>
      </c>
    </row>
    <row r="168" spans="1:11" s="7" customFormat="1" x14ac:dyDescent="0.25">
      <c r="A168" s="7">
        <v>173</v>
      </c>
      <c r="D168" s="7" t="s">
        <v>5</v>
      </c>
      <c r="E168" s="7" t="s">
        <v>77</v>
      </c>
      <c r="H168" s="4"/>
      <c r="J168" s="4" t="str">
        <f t="shared" si="5"/>
        <v/>
      </c>
    </row>
    <row r="169" spans="1:11" s="4" customFormat="1" x14ac:dyDescent="0.25">
      <c r="A169" s="4">
        <v>176</v>
      </c>
      <c r="B169" s="4" t="s">
        <v>68</v>
      </c>
      <c r="C169" s="5">
        <v>45260</v>
      </c>
      <c r="D169" s="4" t="s">
        <v>5</v>
      </c>
      <c r="H169" s="4" t="str">
        <f t="shared" si="6"/>
        <v>LUP053</v>
      </c>
      <c r="I169" s="4">
        <v>0</v>
      </c>
      <c r="J169" s="4" t="str">
        <f t="shared" si="5"/>
        <v/>
      </c>
      <c r="K169" s="4" t="s">
        <v>102</v>
      </c>
    </row>
    <row r="170" spans="1:11" s="7" customFormat="1" x14ac:dyDescent="0.25">
      <c r="A170" s="7">
        <v>177</v>
      </c>
      <c r="C170" s="8">
        <v>45261</v>
      </c>
      <c r="D170" s="7" t="s">
        <v>5</v>
      </c>
      <c r="E170" s="7" t="s">
        <v>77</v>
      </c>
      <c r="H170" s="4"/>
      <c r="J170" s="4" t="str">
        <f t="shared" si="5"/>
        <v/>
      </c>
    </row>
    <row r="171" spans="1:11" s="7" customFormat="1" x14ac:dyDescent="0.25">
      <c r="A171" s="7">
        <v>178</v>
      </c>
      <c r="C171" s="8">
        <v>45261</v>
      </c>
      <c r="D171" s="7" t="s">
        <v>5</v>
      </c>
      <c r="E171" s="7" t="s">
        <v>77</v>
      </c>
      <c r="H171" s="4"/>
      <c r="J171" s="4" t="str">
        <f t="shared" si="5"/>
        <v/>
      </c>
    </row>
    <row r="172" spans="1:11" s="7" customFormat="1" x14ac:dyDescent="0.25">
      <c r="A172" s="7">
        <v>179</v>
      </c>
      <c r="C172" s="8">
        <v>45261</v>
      </c>
      <c r="D172" s="7" t="s">
        <v>5</v>
      </c>
      <c r="E172" s="7" t="s">
        <v>77</v>
      </c>
      <c r="H172" s="4"/>
      <c r="J172" s="4" t="str">
        <f t="shared" si="5"/>
        <v/>
      </c>
    </row>
    <row r="173" spans="1:11" s="7" customFormat="1" x14ac:dyDescent="0.25">
      <c r="A173" s="7">
        <v>180</v>
      </c>
      <c r="C173" s="8">
        <v>45261</v>
      </c>
      <c r="D173" s="7" t="s">
        <v>5</v>
      </c>
      <c r="E173" s="7" t="s">
        <v>77</v>
      </c>
      <c r="H173" s="4"/>
      <c r="J173" s="4" t="str">
        <f t="shared" si="5"/>
        <v/>
      </c>
    </row>
    <row r="174" spans="1:11" s="7" customFormat="1" x14ac:dyDescent="0.25">
      <c r="A174" s="7">
        <v>181</v>
      </c>
      <c r="D174" s="7" t="s">
        <v>5</v>
      </c>
      <c r="E174" s="7" t="s">
        <v>82</v>
      </c>
      <c r="F174" s="7" t="s">
        <v>95</v>
      </c>
      <c r="H174" s="4"/>
      <c r="J174" s="4" t="str">
        <f t="shared" si="5"/>
        <v/>
      </c>
    </row>
    <row r="175" spans="1:11" s="7" customFormat="1" x14ac:dyDescent="0.25">
      <c r="A175" s="7">
        <v>182</v>
      </c>
      <c r="C175" s="8">
        <v>45261</v>
      </c>
      <c r="D175" s="7" t="s">
        <v>5</v>
      </c>
      <c r="E175" s="7" t="s">
        <v>77</v>
      </c>
      <c r="H175" s="4"/>
      <c r="J175" s="4" t="str">
        <f t="shared" si="5"/>
        <v/>
      </c>
    </row>
    <row r="176" spans="1:11" s="7" customFormat="1" x14ac:dyDescent="0.25">
      <c r="A176" s="7">
        <v>183</v>
      </c>
      <c r="D176" s="7" t="s">
        <v>5</v>
      </c>
      <c r="E176" s="7" t="s">
        <v>77</v>
      </c>
      <c r="H176" s="4"/>
      <c r="J176" s="4" t="str">
        <f t="shared" si="5"/>
        <v/>
      </c>
    </row>
    <row r="177" spans="1:10" s="7" customFormat="1" x14ac:dyDescent="0.25">
      <c r="A177" s="7">
        <v>184</v>
      </c>
      <c r="D177" s="7" t="s">
        <v>5</v>
      </c>
      <c r="E177" s="7" t="s">
        <v>111</v>
      </c>
      <c r="H177" s="4"/>
      <c r="J177" s="4" t="str">
        <f t="shared" si="5"/>
        <v/>
      </c>
    </row>
    <row r="178" spans="1:10" s="7" customFormat="1" x14ac:dyDescent="0.25">
      <c r="A178" s="7">
        <v>185</v>
      </c>
      <c r="C178" s="8">
        <v>45273</v>
      </c>
      <c r="D178" s="7" t="s">
        <v>5</v>
      </c>
      <c r="E178" s="7" t="s">
        <v>108</v>
      </c>
      <c r="F178" s="7" t="s">
        <v>96</v>
      </c>
      <c r="H178" s="4"/>
      <c r="J178" s="4" t="str">
        <f t="shared" si="5"/>
        <v/>
      </c>
    </row>
    <row r="179" spans="1:10" s="7" customFormat="1" x14ac:dyDescent="0.25">
      <c r="A179" s="7">
        <v>186</v>
      </c>
      <c r="D179" s="7" t="s">
        <v>5</v>
      </c>
      <c r="E179" s="7" t="s">
        <v>111</v>
      </c>
      <c r="H179" s="4"/>
      <c r="J179" s="4" t="str">
        <f t="shared" si="5"/>
        <v/>
      </c>
    </row>
    <row r="180" spans="1:10" s="7" customFormat="1" x14ac:dyDescent="0.25">
      <c r="A180" s="7">
        <v>187</v>
      </c>
      <c r="D180" s="7" t="s">
        <v>5</v>
      </c>
      <c r="E180" s="7" t="s">
        <v>111</v>
      </c>
      <c r="H180" s="4"/>
      <c r="J180" s="4" t="str">
        <f t="shared" si="5"/>
        <v/>
      </c>
    </row>
    <row r="181" spans="1:10" s="7" customFormat="1" x14ac:dyDescent="0.25">
      <c r="A181" s="7">
        <v>188</v>
      </c>
      <c r="D181" s="7" t="s">
        <v>5</v>
      </c>
      <c r="E181" s="7" t="s">
        <v>111</v>
      </c>
      <c r="H181" s="4"/>
      <c r="J181" s="4" t="str">
        <f t="shared" si="5"/>
        <v/>
      </c>
    </row>
    <row r="182" spans="1:10" s="7" customFormat="1" x14ac:dyDescent="0.25">
      <c r="A182" s="7">
        <v>189</v>
      </c>
      <c r="D182" s="7" t="s">
        <v>5</v>
      </c>
      <c r="E182" s="7" t="s">
        <v>77</v>
      </c>
      <c r="H182" s="4"/>
      <c r="J182" s="4" t="str">
        <f t="shared" si="5"/>
        <v/>
      </c>
    </row>
    <row r="183" spans="1:10" s="7" customFormat="1" x14ac:dyDescent="0.25">
      <c r="A183" s="7">
        <v>190</v>
      </c>
      <c r="C183" s="8">
        <v>45261</v>
      </c>
      <c r="D183" s="7" t="s">
        <v>5</v>
      </c>
      <c r="E183" s="7" t="s">
        <v>111</v>
      </c>
      <c r="H183" s="4"/>
      <c r="J183" s="4" t="str">
        <f t="shared" si="5"/>
        <v/>
      </c>
    </row>
    <row r="184" spans="1:10" s="7" customFormat="1" x14ac:dyDescent="0.25">
      <c r="A184" s="7">
        <v>191</v>
      </c>
      <c r="C184" s="8">
        <v>45260</v>
      </c>
      <c r="D184" s="7" t="s">
        <v>5</v>
      </c>
      <c r="E184" s="7" t="s">
        <v>77</v>
      </c>
      <c r="H184" s="4"/>
      <c r="J184" s="4" t="str">
        <f t="shared" si="5"/>
        <v/>
      </c>
    </row>
    <row r="185" spans="1:10" s="4" customFormat="1" x14ac:dyDescent="0.25">
      <c r="A185" s="4">
        <v>192</v>
      </c>
      <c r="B185" s="4" t="s">
        <v>70</v>
      </c>
      <c r="C185" s="5">
        <v>45296</v>
      </c>
      <c r="D185" s="4" t="s">
        <v>5</v>
      </c>
      <c r="H185" s="4" t="str">
        <f t="shared" si="6"/>
        <v>lup055</v>
      </c>
      <c r="I185" s="4">
        <v>1</v>
      </c>
      <c r="J185" s="4" t="str">
        <f t="shared" si="5"/>
        <v>lup055</v>
      </c>
    </row>
    <row r="186" spans="1:10" x14ac:dyDescent="0.25">
      <c r="A186" s="1"/>
    </row>
    <row r="187" spans="1:10" x14ac:dyDescent="0.25">
      <c r="A187" s="1"/>
    </row>
    <row r="188" spans="1:10" x14ac:dyDescent="0.25">
      <c r="A188" s="1"/>
    </row>
    <row r="189" spans="1:10" x14ac:dyDescent="0.25">
      <c r="A189" s="1"/>
    </row>
    <row r="190" spans="1:10" x14ac:dyDescent="0.25">
      <c r="A190" s="1"/>
    </row>
    <row r="191" spans="1:10" x14ac:dyDescent="0.25">
      <c r="A191" s="1"/>
    </row>
    <row r="192" spans="1:10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</sheetData>
  <phoneticPr fontId="2" type="noConversion"/>
  <conditionalFormatting sqref="A1:B1048576">
    <cfRule type="duplicateValues" dxfId="2" priority="60" stopIfTrue="1"/>
  </conditionalFormatting>
  <conditionalFormatting sqref="B130">
    <cfRule type="duplicateValues" dxfId="1" priority="65" stopIfTrue="1"/>
  </conditionalFormatting>
  <conditionalFormatting sqref="B118:B129 B131:B132">
    <cfRule type="duplicateValues" dxfId="0" priority="6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8208-56B0-4F01-8B87-37A80F5DB6B1}">
  <dimension ref="A1:T20"/>
  <sheetViews>
    <sheetView zoomScale="115" zoomScaleNormal="115" workbookViewId="0">
      <selection activeCell="A2" sqref="A2:A10"/>
    </sheetView>
  </sheetViews>
  <sheetFormatPr defaultRowHeight="15" x14ac:dyDescent="0.25"/>
  <cols>
    <col min="3" max="3" width="11" bestFit="1" customWidth="1"/>
  </cols>
  <sheetData>
    <row r="1" spans="1:20" x14ac:dyDescent="0.25">
      <c r="B1" t="s">
        <v>15</v>
      </c>
      <c r="C1" t="s">
        <v>19</v>
      </c>
      <c r="D1" t="s">
        <v>20</v>
      </c>
      <c r="H1" t="s">
        <v>6</v>
      </c>
    </row>
    <row r="2" spans="1:20" x14ac:dyDescent="0.25">
      <c r="A2" t="e" cm="1">
        <f t="array" ref="A2">_xlfn.UNIQUE(Arbejdsliste!#REF!)</f>
        <v>#REF!</v>
      </c>
      <c r="B2" t="e">
        <f>COUNTIF(Arbejdsliste!#REF!,Diagram!A2)</f>
        <v>#REF!</v>
      </c>
      <c r="C2" t="e">
        <f>COUNTIFS(Arbejdsliste!#REF!,Diagram!A2,Arbejdsliste!B:B,"*lup*")</f>
        <v>#REF!</v>
      </c>
      <c r="D2" t="e">
        <f>B2-C2</f>
        <v>#REF!</v>
      </c>
      <c r="T2" t="s">
        <v>4</v>
      </c>
    </row>
    <row r="3" spans="1:20" x14ac:dyDescent="0.25">
      <c r="B3" t="e">
        <f>COUNTIF(Arbejdsliste!#REF!,Diagram!A3)</f>
        <v>#REF!</v>
      </c>
      <c r="C3" t="e">
        <f>COUNTIFS(Arbejdsliste!#REF!,Diagram!A3,Arbejdsliste!B:B,"*lup*")</f>
        <v>#REF!</v>
      </c>
      <c r="D3" t="e">
        <f>B3-C3</f>
        <v>#REF!</v>
      </c>
    </row>
    <row r="4" spans="1:20" x14ac:dyDescent="0.25">
      <c r="B4" t="e">
        <f>COUNTIF(Arbejdsliste!#REF!,Diagram!A4)</f>
        <v>#REF!</v>
      </c>
      <c r="C4" t="e">
        <f>COUNTIFS(Arbejdsliste!#REF!,Diagram!A4,Arbejdsliste!B:B,"*lup*")</f>
        <v>#REF!</v>
      </c>
      <c r="D4" t="e">
        <f t="shared" ref="D4:D19" si="0">B4-C4</f>
        <v>#REF!</v>
      </c>
    </row>
    <row r="5" spans="1:20" x14ac:dyDescent="0.25">
      <c r="B5" t="e">
        <f>COUNTIF(Arbejdsliste!#REF!,Diagram!A5)</f>
        <v>#REF!</v>
      </c>
      <c r="C5" t="e">
        <f>COUNTIFS(Arbejdsliste!#REF!,Diagram!A5,Arbejdsliste!B:B,"*lup*")</f>
        <v>#REF!</v>
      </c>
      <c r="D5" t="e">
        <f t="shared" si="0"/>
        <v>#REF!</v>
      </c>
    </row>
    <row r="6" spans="1:20" x14ac:dyDescent="0.25">
      <c r="B6" t="e">
        <f>COUNTIF(Arbejdsliste!#REF!,Diagram!A6)</f>
        <v>#REF!</v>
      </c>
      <c r="C6" t="e">
        <f>COUNTIFS(Arbejdsliste!#REF!,Diagram!A6,Arbejdsliste!B:B,"*lup*")</f>
        <v>#REF!</v>
      </c>
      <c r="D6" t="e">
        <f t="shared" si="0"/>
        <v>#REF!</v>
      </c>
    </row>
    <row r="7" spans="1:20" x14ac:dyDescent="0.25">
      <c r="B7" t="e">
        <f>COUNTIF(Arbejdsliste!#REF!,Diagram!A7)</f>
        <v>#REF!</v>
      </c>
      <c r="C7" t="e">
        <f>COUNTIFS(Arbejdsliste!#REF!,Diagram!A7,Arbejdsliste!B:B,"*lup*")</f>
        <v>#REF!</v>
      </c>
      <c r="D7" t="e">
        <f t="shared" si="0"/>
        <v>#REF!</v>
      </c>
    </row>
    <row r="8" spans="1:20" x14ac:dyDescent="0.25">
      <c r="B8" t="e">
        <f>COUNTIF(Arbejdsliste!#REF!,Diagram!A8)</f>
        <v>#REF!</v>
      </c>
      <c r="C8" t="e">
        <f>COUNTIFS(Arbejdsliste!#REF!,Diagram!A8,Arbejdsliste!B:B,"*lup*")</f>
        <v>#REF!</v>
      </c>
      <c r="D8" t="e">
        <f t="shared" si="0"/>
        <v>#REF!</v>
      </c>
    </row>
    <row r="9" spans="1:20" x14ac:dyDescent="0.25">
      <c r="B9" t="e">
        <f>COUNTIF(Arbejdsliste!#REF!,Diagram!A9)</f>
        <v>#REF!</v>
      </c>
      <c r="C9" t="e">
        <f>COUNTIFS(Arbejdsliste!#REF!,Diagram!A9,Arbejdsliste!B:B,"*lup*")</f>
        <v>#REF!</v>
      </c>
      <c r="D9" t="e">
        <f t="shared" si="0"/>
        <v>#REF!</v>
      </c>
    </row>
    <row r="10" spans="1:20" x14ac:dyDescent="0.25">
      <c r="B10" t="e">
        <f>COUNTIF(Arbejdsliste!#REF!,Diagram!A10)</f>
        <v>#REF!</v>
      </c>
      <c r="C10" t="e">
        <f>COUNTIFS(Arbejdsliste!#REF!,Diagram!A10,Arbejdsliste!B:B,"*lup*")</f>
        <v>#REF!</v>
      </c>
      <c r="D10" t="e">
        <f t="shared" si="0"/>
        <v>#REF!</v>
      </c>
    </row>
    <row r="11" spans="1:20" x14ac:dyDescent="0.25">
      <c r="B11" t="e">
        <f>COUNTIF(Arbejdsliste!#REF!,Diagram!A11)</f>
        <v>#REF!</v>
      </c>
      <c r="C11" t="e">
        <f>COUNTIFS(Arbejdsliste!#REF!,Diagram!A11,Arbejdsliste!B:B,"*lup*")</f>
        <v>#REF!</v>
      </c>
      <c r="D11" t="e">
        <f t="shared" si="0"/>
        <v>#REF!</v>
      </c>
    </row>
    <row r="12" spans="1:20" x14ac:dyDescent="0.25">
      <c r="B12" t="e">
        <f>COUNTIF(Arbejdsliste!#REF!,Diagram!A12)</f>
        <v>#REF!</v>
      </c>
      <c r="C12" t="e">
        <f>COUNTIFS(Arbejdsliste!#REF!,Diagram!A12,Arbejdsliste!B:B,"*lup*")</f>
        <v>#REF!</v>
      </c>
      <c r="D12" t="e">
        <f t="shared" si="0"/>
        <v>#REF!</v>
      </c>
    </row>
    <row r="13" spans="1:20" x14ac:dyDescent="0.25">
      <c r="B13" t="e">
        <f>COUNTIF(Arbejdsliste!#REF!,Diagram!A13)</f>
        <v>#REF!</v>
      </c>
      <c r="C13" t="e">
        <f>COUNTIFS(Arbejdsliste!#REF!,Diagram!A13,Arbejdsliste!B:B,"*lup*")</f>
        <v>#REF!</v>
      </c>
      <c r="D13" t="e">
        <f t="shared" si="0"/>
        <v>#REF!</v>
      </c>
    </row>
    <row r="14" spans="1:20" x14ac:dyDescent="0.25">
      <c r="B14" t="e">
        <f>COUNTIF(Arbejdsliste!#REF!,Diagram!A14)</f>
        <v>#REF!</v>
      </c>
      <c r="C14" t="e">
        <f>COUNTIFS(Arbejdsliste!#REF!,Diagram!A14,Arbejdsliste!B:B,"*lup*")</f>
        <v>#REF!</v>
      </c>
      <c r="D14" t="e">
        <f t="shared" si="0"/>
        <v>#REF!</v>
      </c>
    </row>
    <row r="15" spans="1:20" x14ac:dyDescent="0.25">
      <c r="B15" t="e">
        <f>COUNTIF(Arbejdsliste!#REF!,Diagram!A15)</f>
        <v>#REF!</v>
      </c>
      <c r="C15" t="e">
        <f>COUNTIFS(Arbejdsliste!#REF!,Diagram!A15,Arbejdsliste!B:B,"*lup*")</f>
        <v>#REF!</v>
      </c>
      <c r="D15" t="e">
        <f t="shared" si="0"/>
        <v>#REF!</v>
      </c>
    </row>
    <row r="16" spans="1:20" x14ac:dyDescent="0.25">
      <c r="B16" t="e">
        <f>COUNTIF(Arbejdsliste!#REF!,Diagram!A16)</f>
        <v>#REF!</v>
      </c>
      <c r="C16" t="e">
        <f>COUNTIFS(Arbejdsliste!#REF!,Diagram!A16,Arbejdsliste!B:B,"*lup*")</f>
        <v>#REF!</v>
      </c>
      <c r="D16" t="e">
        <f t="shared" si="0"/>
        <v>#REF!</v>
      </c>
    </row>
    <row r="17" spans="2:4" x14ac:dyDescent="0.25">
      <c r="B17" t="e">
        <f>COUNTIF(Arbejdsliste!#REF!,Diagram!A17)</f>
        <v>#REF!</v>
      </c>
      <c r="C17" t="e">
        <f>COUNTIFS(Arbejdsliste!#REF!,Diagram!A17,Arbejdsliste!B:B,"*lup*")</f>
        <v>#REF!</v>
      </c>
      <c r="D17" t="e">
        <f t="shared" si="0"/>
        <v>#REF!</v>
      </c>
    </row>
    <row r="18" spans="2:4" x14ac:dyDescent="0.25">
      <c r="B18" t="e">
        <f>COUNTIF(Arbejdsliste!#REF!,Diagram!A18)</f>
        <v>#REF!</v>
      </c>
      <c r="C18" t="e">
        <f>COUNTIFS(Arbejdsliste!#REF!,Diagram!A18,Arbejdsliste!B:B,"*lup*")</f>
        <v>#REF!</v>
      </c>
      <c r="D18" t="e">
        <f t="shared" si="0"/>
        <v>#REF!</v>
      </c>
    </row>
    <row r="19" spans="2:4" x14ac:dyDescent="0.25">
      <c r="B19" t="e">
        <f>COUNTIF(Arbejdsliste!#REF!,Diagram!A19)</f>
        <v>#REF!</v>
      </c>
      <c r="C19" t="e">
        <f>COUNTIFS(Arbejdsliste!#REF!,Diagram!A19,Arbejdsliste!#REF!,$T$2)</f>
        <v>#REF!</v>
      </c>
      <c r="D19" t="e">
        <f t="shared" si="0"/>
        <v>#REF!</v>
      </c>
    </row>
    <row r="20" spans="2:4" x14ac:dyDescent="0.25">
      <c r="C20" t="e">
        <f>SUM(C2:C19)</f>
        <v>#REF!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82EC-87DF-4D31-814B-798D8FD78329}">
  <dimension ref="A1:C5"/>
  <sheetViews>
    <sheetView workbookViewId="0">
      <selection activeCell="B5" sqref="B5"/>
    </sheetView>
  </sheetViews>
  <sheetFormatPr defaultRowHeight="15" x14ac:dyDescent="0.25"/>
  <sheetData>
    <row r="1" spans="1:3" x14ac:dyDescent="0.25">
      <c r="A1" s="2" t="s">
        <v>0</v>
      </c>
      <c r="C1" s="2" t="s">
        <v>1</v>
      </c>
    </row>
    <row r="2" spans="1:3" x14ac:dyDescent="0.25">
      <c r="A2" s="3" t="s">
        <v>2</v>
      </c>
    </row>
    <row r="5" spans="1:3" x14ac:dyDescent="0.25">
      <c r="A5" t="s">
        <v>29</v>
      </c>
      <c r="B5" t="e">
        <f ca="1">COUNTIFS(Arbejdsliste!#REF!,TODAY(),Arbejdsliste!#REF!,TODAY())</f>
        <v>#REF!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Arbejdsliste</vt:lpstr>
      <vt:lpstr>Diagram</vt:lpstr>
      <vt:lpstr>StudieInfo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Jønck</dc:creator>
  <cp:lastModifiedBy>Malte Lund Adamsen</cp:lastModifiedBy>
  <dcterms:created xsi:type="dcterms:W3CDTF">2022-01-11T07:53:07Z</dcterms:created>
  <dcterms:modified xsi:type="dcterms:W3CDTF">2025-04-28T08:24:12Z</dcterms:modified>
</cp:coreProperties>
</file>